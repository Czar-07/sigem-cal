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inspet.met\Downloads\"/>
    </mc:Choice>
  </mc:AlternateContent>
  <bookViews>
    <workbookView xWindow="-120" yWindow="-120" windowWidth="29040" windowHeight="15840"/>
  </bookViews>
  <sheets>
    <sheet name="Controle de Calibração 2026" sheetId="1" r:id="rId1"/>
    <sheet name="Cronograma Mensal 2026" sheetId="6" r:id="rId2"/>
    <sheet name="Controle de Revisão 2026" sheetId="5" r:id="rId3"/>
  </sheets>
  <definedNames>
    <definedName name="_xlnm._FilterDatabase" localSheetId="0" hidden="1">'Controle de Calibração 2026'!$A$2:$L$756</definedName>
    <definedName name="_xlnm.Print_Area" localSheetId="0">'Controle de Calibração 2026'!$A$1:$L$86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756" i="1" l="1"/>
  <c r="F755" i="1"/>
  <c r="F754" i="1"/>
  <c r="F753" i="1"/>
  <c r="F744" i="1"/>
  <c r="F745" i="1"/>
  <c r="F746" i="1"/>
  <c r="F748" i="1"/>
  <c r="F747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9" i="1"/>
  <c r="L750" i="1"/>
  <c r="L751" i="1"/>
  <c r="L752" i="1"/>
  <c r="F643" i="1"/>
  <c r="F639" i="1"/>
  <c r="F702" i="1"/>
  <c r="F697" i="1"/>
  <c r="F658" i="1"/>
  <c r="F716" i="1"/>
  <c r="F715" i="1"/>
  <c r="F714" i="1"/>
  <c r="F713" i="1"/>
  <c r="F712" i="1"/>
  <c r="F711" i="1"/>
  <c r="F710" i="1"/>
  <c r="F709" i="1"/>
  <c r="F695" i="1"/>
  <c r="F693" i="1"/>
  <c r="F692" i="1"/>
  <c r="F656" i="1"/>
  <c r="C4" i="6"/>
  <c r="L707" i="1"/>
  <c r="L708" i="1"/>
  <c r="L717" i="1"/>
  <c r="L718" i="1"/>
  <c r="L719" i="1"/>
  <c r="L720" i="1"/>
  <c r="L721" i="1"/>
  <c r="L722" i="1"/>
  <c r="L706" i="1"/>
  <c r="L705" i="1"/>
  <c r="F649" i="1" l="1"/>
  <c r="F661" i="1"/>
  <c r="F660" i="1"/>
  <c r="F666" i="1"/>
  <c r="F667" i="1"/>
  <c r="F669" i="1"/>
  <c r="F679" i="1" l="1"/>
  <c r="F665" i="1"/>
  <c r="F682" i="1"/>
  <c r="F691" i="1"/>
  <c r="F664" i="1"/>
  <c r="F690" i="1"/>
  <c r="F655" i="1"/>
  <c r="F689" i="1"/>
  <c r="F663" i="1"/>
  <c r="F698" i="1"/>
  <c r="F651" i="1"/>
  <c r="F676" i="1"/>
  <c r="F675" i="1"/>
  <c r="F650" i="1"/>
  <c r="F654" i="1"/>
  <c r="F677" i="1"/>
  <c r="F659" i="1"/>
  <c r="F700" i="1"/>
  <c r="F699" i="1"/>
  <c r="F670" i="1"/>
  <c r="F674" i="1"/>
  <c r="F694" i="1"/>
  <c r="F55" i="1"/>
  <c r="F56" i="1"/>
  <c r="F662" i="1"/>
  <c r="F680" i="1"/>
  <c r="F688" i="1"/>
  <c r="F687" i="1"/>
  <c r="F696" i="1"/>
  <c r="F647" i="1"/>
  <c r="F657" i="1"/>
  <c r="F704" i="1"/>
  <c r="F703" i="1"/>
  <c r="F701" i="1"/>
  <c r="F686" i="1"/>
  <c r="F685" i="1"/>
  <c r="F684" i="1"/>
  <c r="F683" i="1"/>
  <c r="F681" i="1"/>
  <c r="F678" i="1"/>
  <c r="F673" i="1"/>
  <c r="F672" i="1"/>
  <c r="F671" i="1"/>
  <c r="F668" i="1"/>
  <c r="F653" i="1"/>
  <c r="F652" i="1"/>
  <c r="F648" i="1"/>
  <c r="E24" i="6" l="1"/>
  <c r="R24" i="6"/>
  <c r="Q24" i="6"/>
  <c r="P24" i="6"/>
  <c r="C5" i="6"/>
  <c r="C6" i="6"/>
  <c r="C8" i="6"/>
  <c r="C9" i="6"/>
  <c r="C7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J24" i="6"/>
  <c r="K24" i="6"/>
  <c r="L24" i="6"/>
  <c r="M24" i="6"/>
  <c r="N24" i="6"/>
  <c r="O24" i="6"/>
  <c r="I24" i="6"/>
  <c r="H24" i="6"/>
  <c r="G24" i="6"/>
  <c r="F24" i="6"/>
  <c r="D24" i="6"/>
  <c r="C24" i="6" l="1"/>
  <c r="F630" i="1"/>
  <c r="F625" i="1" l="1"/>
  <c r="F645" i="1"/>
  <c r="F646" i="1"/>
  <c r="F644" i="1"/>
  <c r="F635" i="1" l="1"/>
  <c r="F434" i="1"/>
  <c r="F412" i="1"/>
  <c r="F410" i="1" l="1"/>
  <c r="F411" i="1" l="1"/>
  <c r="F414" i="1" l="1"/>
  <c r="F413" i="1"/>
  <c r="F409" i="1"/>
  <c r="F408" i="1" l="1"/>
  <c r="F407" i="1"/>
  <c r="F406" i="1"/>
  <c r="F405" i="1"/>
  <c r="F404" i="1"/>
  <c r="F403" i="1"/>
  <c r="F642" i="1" l="1"/>
  <c r="F641" i="1"/>
  <c r="F531" i="1"/>
  <c r="F530" i="1"/>
  <c r="F388" i="1"/>
  <c r="F287" i="1" l="1"/>
  <c r="F31" i="1" l="1"/>
  <c r="F109" i="1" l="1"/>
  <c r="F340" i="1" l="1"/>
  <c r="F342" i="1" l="1"/>
  <c r="F341" i="1" l="1"/>
  <c r="F36" i="1" l="1"/>
  <c r="F39" i="1" l="1"/>
  <c r="L640" i="1" l="1"/>
  <c r="L638" i="1"/>
  <c r="L637" i="1"/>
  <c r="L636" i="1"/>
  <c r="L634" i="1"/>
  <c r="F12" i="1"/>
  <c r="F323" i="1" l="1"/>
  <c r="F322" i="1" l="1"/>
  <c r="F321" i="1" l="1"/>
  <c r="F629" i="1" l="1"/>
  <c r="F628" i="1"/>
  <c r="F631" i="1"/>
  <c r="F633" i="1"/>
  <c r="F632" i="1"/>
  <c r="F627" i="1"/>
  <c r="F626" i="1"/>
  <c r="L624" i="1" l="1"/>
  <c r="F320" i="1"/>
  <c r="F319" i="1" l="1"/>
  <c r="F317" i="1" l="1"/>
  <c r="F316" i="1"/>
  <c r="F315" i="1"/>
  <c r="F314" i="1" l="1"/>
  <c r="F304" i="1" l="1"/>
  <c r="F302" i="1" l="1"/>
  <c r="F300" i="1" l="1"/>
  <c r="F299" i="1" l="1"/>
  <c r="F298" i="1" l="1"/>
  <c r="F297" i="1" l="1"/>
  <c r="F296" i="1" l="1"/>
  <c r="F295" i="1" l="1"/>
  <c r="F294" i="1" l="1"/>
  <c r="F313" i="1"/>
  <c r="F79" i="1" l="1"/>
  <c r="F65" i="1" l="1"/>
  <c r="F64" i="1"/>
  <c r="F59" i="1" l="1"/>
  <c r="F58" i="1" l="1"/>
  <c r="F241" i="1" l="1"/>
  <c r="F258" i="1" l="1"/>
  <c r="F83" i="1" l="1"/>
  <c r="F339" i="1" l="1"/>
  <c r="F368" i="1" l="1"/>
  <c r="F430" i="1" l="1"/>
  <c r="F426" i="1" l="1"/>
  <c r="F424" i="1"/>
  <c r="F337" i="1" l="1"/>
  <c r="F423" i="1"/>
  <c r="F422" i="1"/>
  <c r="L131" i="1" l="1"/>
  <c r="F419" i="1" l="1"/>
  <c r="F418" i="1"/>
  <c r="F431" i="1"/>
  <c r="F309" i="1"/>
  <c r="F308" i="1"/>
  <c r="F306" i="1"/>
  <c r="F619" i="1" l="1"/>
  <c r="F618" i="1"/>
  <c r="F598" i="1"/>
  <c r="F596" i="1"/>
  <c r="F617" i="1"/>
  <c r="F562" i="1"/>
  <c r="F563" i="1"/>
  <c r="F564" i="1"/>
  <c r="F399" i="1" l="1"/>
  <c r="F401" i="1" l="1"/>
  <c r="F400" i="1" l="1"/>
  <c r="F416" i="1" l="1"/>
  <c r="F557" i="1" l="1"/>
  <c r="F556" i="1"/>
  <c r="F555" i="1"/>
  <c r="F616" i="1" l="1"/>
  <c r="F613" i="1"/>
  <c r="F581" i="1"/>
  <c r="F549" i="1" l="1"/>
  <c r="F582" i="1"/>
  <c r="F584" i="1" l="1"/>
  <c r="F583" i="1"/>
  <c r="F621" i="1" l="1"/>
  <c r="F620" i="1"/>
  <c r="F599" i="1"/>
  <c r="F590" i="1"/>
  <c r="F568" i="1"/>
  <c r="F567" i="1"/>
  <c r="F566" i="1"/>
  <c r="F565" i="1"/>
  <c r="F603" i="1"/>
  <c r="F548" i="1"/>
  <c r="F578" i="1" l="1"/>
  <c r="F577" i="1"/>
  <c r="F573" i="1"/>
  <c r="F571" i="1"/>
  <c r="F569" i="1"/>
  <c r="F561" i="1"/>
  <c r="F560" i="1"/>
  <c r="F559" i="1"/>
  <c r="F600" i="1"/>
  <c r="F595" i="1"/>
  <c r="F594" i="1"/>
  <c r="F593" i="1"/>
  <c r="F592" i="1"/>
  <c r="F601" i="1"/>
  <c r="F597" i="1"/>
  <c r="F591" i="1"/>
  <c r="F602" i="1" l="1"/>
  <c r="F605" i="1"/>
  <c r="F604" i="1"/>
  <c r="F572" i="1"/>
  <c r="F570" i="1"/>
  <c r="F575" i="1"/>
  <c r="F576" i="1"/>
  <c r="F574" i="1"/>
  <c r="F589" i="1" l="1"/>
  <c r="F588" i="1"/>
  <c r="F587" i="1"/>
  <c r="F586" i="1"/>
  <c r="F585" i="1"/>
  <c r="F554" i="1"/>
  <c r="F553" i="1" l="1"/>
  <c r="F552" i="1" l="1"/>
  <c r="F551" i="1" l="1"/>
  <c r="F550" i="1" l="1"/>
  <c r="F558" i="1" l="1"/>
  <c r="F612" i="1"/>
  <c r="F611" i="1"/>
  <c r="F580" i="1"/>
  <c r="F579" i="1"/>
  <c r="F432" i="1"/>
  <c r="F547" i="1"/>
  <c r="F623" i="1" l="1"/>
  <c r="F622" i="1"/>
  <c r="F477" i="1"/>
  <c r="F476" i="1"/>
  <c r="L615" i="1"/>
  <c r="L614" i="1"/>
  <c r="F221" i="1"/>
  <c r="F610" i="1" l="1"/>
  <c r="F609" i="1"/>
  <c r="F608" i="1"/>
  <c r="F607" i="1"/>
  <c r="L606" i="1"/>
  <c r="F474" i="1" l="1"/>
  <c r="F473" i="1"/>
  <c r="F280" i="1" l="1"/>
  <c r="F421" i="1" l="1"/>
  <c r="F420" i="1"/>
  <c r="F301" i="1"/>
  <c r="F518" i="1"/>
  <c r="F506" i="1"/>
  <c r="F504" i="1"/>
  <c r="F503" i="1"/>
  <c r="F511" i="1" l="1"/>
  <c r="F515" i="1"/>
  <c r="F507" i="1" l="1"/>
  <c r="F468" i="1" l="1"/>
  <c r="F502" i="1" l="1"/>
  <c r="F501" i="1"/>
  <c r="F546" i="1" l="1"/>
  <c r="F534" i="1" l="1"/>
  <c r="F533" i="1"/>
  <c r="F532" i="1"/>
  <c r="F529" i="1"/>
  <c r="F544" i="1" l="1"/>
  <c r="F470" i="1" l="1"/>
  <c r="F469" i="1"/>
  <c r="F471" i="1"/>
  <c r="F472" i="1"/>
  <c r="F517" i="1"/>
  <c r="F516" i="1"/>
  <c r="F512" i="1"/>
  <c r="F510" i="1"/>
  <c r="F505" i="1"/>
  <c r="F514" i="1"/>
  <c r="F513" i="1"/>
  <c r="F509" i="1" l="1"/>
  <c r="F508" i="1"/>
  <c r="F519" i="1"/>
  <c r="F491" i="1"/>
  <c r="F391" i="1" l="1"/>
  <c r="F433" i="1" l="1"/>
  <c r="F490" i="1"/>
  <c r="F497" i="1" l="1"/>
  <c r="F498" i="1"/>
  <c r="F494" i="1"/>
  <c r="F493" i="1"/>
  <c r="F486" i="1"/>
  <c r="F495" i="1"/>
  <c r="F492" i="1"/>
  <c r="F489" i="1"/>
  <c r="F483" i="1"/>
  <c r="F496" i="1"/>
  <c r="F484" i="1"/>
  <c r="F488" i="1"/>
  <c r="F478" i="1"/>
  <c r="F482" i="1"/>
  <c r="F487" i="1"/>
  <c r="F480" i="1"/>
  <c r="F481" i="1"/>
  <c r="F479" i="1"/>
  <c r="F485" i="1"/>
  <c r="F303" i="1" l="1"/>
  <c r="L184" i="1" l="1"/>
  <c r="L128" i="1" l="1"/>
  <c r="L118" i="1"/>
  <c r="L93" i="1" l="1"/>
  <c r="L68" i="1"/>
  <c r="L545" i="1" l="1"/>
  <c r="L543" i="1"/>
  <c r="L542" i="1"/>
  <c r="L541" i="1"/>
  <c r="L540" i="1"/>
  <c r="L539" i="1"/>
  <c r="L527" i="1"/>
  <c r="L522" i="1"/>
  <c r="F384" i="1" l="1"/>
  <c r="F537" i="1" l="1"/>
  <c r="F526" i="1" l="1"/>
  <c r="F524" i="1" l="1"/>
  <c r="F538" i="1" l="1"/>
  <c r="F536" i="1" l="1"/>
  <c r="F535" i="1" l="1"/>
  <c r="F98" i="1" l="1"/>
  <c r="F499" i="1"/>
  <c r="F428" i="1" l="1"/>
  <c r="F374" i="1" l="1"/>
  <c r="F379" i="1" l="1"/>
  <c r="F372" i="1" l="1"/>
  <c r="F371" i="1" l="1"/>
  <c r="F375" i="1" l="1"/>
  <c r="F415" i="1" l="1"/>
  <c r="F386" i="1" l="1"/>
  <c r="F475" i="1" l="1"/>
  <c r="F500" i="1" l="1"/>
  <c r="F447" i="1"/>
  <c r="F523" i="1" l="1"/>
  <c r="F461" i="1"/>
  <c r="F450" i="1" l="1"/>
  <c r="F449" i="1"/>
  <c r="F378" i="1"/>
  <c r="F146" i="1" l="1"/>
  <c r="F429" i="1" l="1"/>
  <c r="F305" i="1" l="1"/>
  <c r="F100" i="1" l="1"/>
  <c r="F373" i="1" l="1"/>
  <c r="F464" i="1" l="1"/>
  <c r="F436" i="1"/>
  <c r="F278" i="1" l="1"/>
  <c r="F389" i="1"/>
  <c r="F275" i="1" l="1"/>
  <c r="F18" i="1" l="1"/>
  <c r="F369" i="1" l="1"/>
  <c r="F362" i="1" l="1"/>
  <c r="F442" i="1" l="1"/>
  <c r="F462" i="1"/>
  <c r="F440" i="1"/>
  <c r="F205" i="1" l="1"/>
  <c r="F210" i="1"/>
  <c r="F234" i="1"/>
  <c r="F5" i="1"/>
  <c r="F7" i="1"/>
  <c r="F8" i="1"/>
  <c r="F15" i="1"/>
  <c r="F377" i="1"/>
  <c r="F380" i="1"/>
  <c r="F383" i="1"/>
  <c r="F349" i="1"/>
  <c r="F355" i="1"/>
  <c r="F356" i="1"/>
  <c r="F358" i="1"/>
  <c r="F359" i="1"/>
  <c r="F360" i="1"/>
  <c r="F197" i="1"/>
  <c r="F467" i="1"/>
  <c r="F466" i="1"/>
  <c r="F465" i="1"/>
  <c r="F448" i="1"/>
  <c r="F528" i="1"/>
  <c r="F452" i="1"/>
  <c r="F451" i="1"/>
  <c r="F444" i="1"/>
  <c r="F443" i="1"/>
  <c r="F463" i="1"/>
  <c r="F311" i="1" l="1"/>
  <c r="F438" i="1" l="1"/>
  <c r="F445" i="1"/>
  <c r="F446" i="1"/>
  <c r="F453" i="1" l="1"/>
  <c r="F437" i="1" l="1"/>
  <c r="F459" i="1" l="1"/>
  <c r="F455" i="1"/>
  <c r="F460" i="1"/>
  <c r="F456" i="1"/>
  <c r="F435" i="1"/>
  <c r="F457" i="1"/>
  <c r="F458" i="1"/>
  <c r="F441" i="1"/>
  <c r="F439" i="1"/>
  <c r="F347" i="1"/>
  <c r="F283" i="1"/>
  <c r="F393" i="1" l="1"/>
  <c r="F398" i="1" l="1"/>
  <c r="F427" i="1" l="1"/>
  <c r="F394" i="1" l="1"/>
  <c r="F201" i="1" l="1"/>
  <c r="F33" i="1"/>
  <c r="F392" i="1" l="1"/>
  <c r="F92" i="1" l="1"/>
  <c r="F417" i="1" l="1"/>
  <c r="F307" i="1"/>
  <c r="F21" i="1" l="1"/>
  <c r="F151" i="1" l="1"/>
  <c r="F111" i="1"/>
  <c r="F318" i="1"/>
  <c r="F357" i="1"/>
  <c r="F353" i="1"/>
  <c r="F350" i="1"/>
  <c r="F352" i="1"/>
  <c r="F354" i="1"/>
  <c r="F351" i="1"/>
  <c r="F348" i="1"/>
  <c r="F366" i="1"/>
  <c r="F363" i="1"/>
  <c r="F361" i="1"/>
  <c r="F364" i="1"/>
  <c r="F454" i="1"/>
  <c r="F346" i="1"/>
  <c r="F365" i="1"/>
  <c r="F335" i="1"/>
  <c r="F336" i="1"/>
  <c r="F367" i="1"/>
  <c r="F370" i="1" l="1"/>
  <c r="F345" i="1"/>
  <c r="F344" i="1"/>
  <c r="F343" i="1"/>
  <c r="F396" i="1" l="1"/>
  <c r="F261" i="1" l="1"/>
  <c r="F395" i="1" l="1"/>
  <c r="F382" i="1" l="1"/>
  <c r="F338" i="1" l="1"/>
  <c r="F385" i="1"/>
  <c r="F28" i="1" l="1"/>
  <c r="F179" i="1" l="1"/>
  <c r="F381" i="1" l="1"/>
  <c r="F262" i="1" l="1"/>
  <c r="F16" i="1" l="1"/>
  <c r="F376" i="1" l="1"/>
  <c r="F13" i="1" l="1"/>
  <c r="F387" i="1" l="1"/>
  <c r="F14" i="1"/>
  <c r="F246" i="1" l="1"/>
  <c r="F235" i="1" l="1"/>
  <c r="F233" i="1"/>
  <c r="F224" i="1"/>
  <c r="F212" i="1"/>
  <c r="F207" i="1"/>
  <c r="F204" i="1"/>
  <c r="F150" i="1" l="1"/>
  <c r="F290" i="1" l="1"/>
  <c r="F291" i="1"/>
  <c r="F292" i="1"/>
  <c r="F293" i="1"/>
  <c r="F324" i="1"/>
  <c r="F325" i="1"/>
  <c r="F326" i="1"/>
  <c r="F327" i="1"/>
  <c r="F328" i="1"/>
  <c r="F329" i="1"/>
  <c r="F281" i="1"/>
  <c r="F288" i="1"/>
  <c r="F289" i="1"/>
  <c r="F330" i="1"/>
  <c r="F331" i="1"/>
  <c r="F332" i="1"/>
  <c r="F333" i="1"/>
  <c r="F334" i="1"/>
  <c r="F279" i="1" l="1"/>
  <c r="F525" i="1"/>
  <c r="F17" i="1" l="1"/>
  <c r="M1" i="1" l="1"/>
  <c r="L755" i="1" l="1"/>
  <c r="L756" i="1"/>
  <c r="L754" i="1"/>
  <c r="L744" i="1"/>
  <c r="L753" i="1"/>
  <c r="L746" i="1"/>
  <c r="L745" i="1"/>
  <c r="L747" i="1"/>
  <c r="L748" i="1"/>
  <c r="L639" i="1"/>
  <c r="L643" i="1"/>
  <c r="L697" i="1"/>
  <c r="L702" i="1"/>
  <c r="L716" i="1"/>
  <c r="L658" i="1"/>
  <c r="L714" i="1"/>
  <c r="L715" i="1"/>
  <c r="L712" i="1"/>
  <c r="L713" i="1"/>
  <c r="L710" i="1"/>
  <c r="L711" i="1"/>
  <c r="L695" i="1"/>
  <c r="L709" i="1"/>
  <c r="L692" i="1"/>
  <c r="L693" i="1"/>
  <c r="L649" i="1"/>
  <c r="L656" i="1"/>
  <c r="L660" i="1"/>
  <c r="L661" i="1"/>
  <c r="L667" i="1"/>
  <c r="L666" i="1"/>
  <c r="L679" i="1"/>
  <c r="L669" i="1"/>
  <c r="L682" i="1"/>
  <c r="L665" i="1"/>
  <c r="L664" i="1"/>
  <c r="L691" i="1"/>
  <c r="L655" i="1"/>
  <c r="L690" i="1"/>
  <c r="L663" i="1"/>
  <c r="L689" i="1"/>
  <c r="L651" i="1"/>
  <c r="L698" i="1"/>
  <c r="L675" i="1"/>
  <c r="L676" i="1"/>
  <c r="L654" i="1"/>
  <c r="L650" i="1"/>
  <c r="L659" i="1"/>
  <c r="L677" i="1"/>
  <c r="L700" i="1"/>
  <c r="L670" i="1"/>
  <c r="L699" i="1"/>
  <c r="L694" i="1"/>
  <c r="L674" i="1"/>
  <c r="L55" i="1"/>
  <c r="L56" i="1"/>
  <c r="L680" i="1"/>
  <c r="L662" i="1"/>
  <c r="L687" i="1"/>
  <c r="L688" i="1"/>
  <c r="L647" i="1"/>
  <c r="L696" i="1"/>
  <c r="L704" i="1"/>
  <c r="L657" i="1"/>
  <c r="L701" i="1"/>
  <c r="L703" i="1"/>
  <c r="L685" i="1"/>
  <c r="L686" i="1"/>
  <c r="L683" i="1"/>
  <c r="L684" i="1"/>
  <c r="L678" i="1"/>
  <c r="L681" i="1"/>
  <c r="L672" i="1"/>
  <c r="L673" i="1"/>
  <c r="L668" i="1"/>
  <c r="L671" i="1"/>
  <c r="L652" i="1"/>
  <c r="L653" i="1"/>
  <c r="L648" i="1"/>
  <c r="L630" i="1"/>
  <c r="L625" i="1"/>
  <c r="L646" i="1"/>
  <c r="L645" i="1"/>
  <c r="L635" i="1"/>
  <c r="L644" i="1"/>
  <c r="L434" i="1"/>
  <c r="L410" i="1"/>
  <c r="L412" i="1"/>
  <c r="L414" i="1"/>
  <c r="L411" i="1"/>
  <c r="L409" i="1"/>
  <c r="L413" i="1"/>
  <c r="L405" i="1"/>
  <c r="L406" i="1"/>
  <c r="L407" i="1"/>
  <c r="L408" i="1"/>
  <c r="L403" i="1"/>
  <c r="L404" i="1"/>
  <c r="L641" i="1"/>
  <c r="L642" i="1"/>
  <c r="L530" i="1"/>
  <c r="L531" i="1"/>
  <c r="L287" i="1"/>
  <c r="L388" i="1"/>
  <c r="L31" i="1"/>
  <c r="L3" i="1"/>
  <c r="L342" i="1"/>
  <c r="L340" i="1"/>
  <c r="L341" i="1"/>
  <c r="L39" i="1"/>
  <c r="L36" i="1"/>
  <c r="L12" i="1"/>
  <c r="L322" i="1"/>
  <c r="L323" i="1"/>
  <c r="L629" i="1"/>
  <c r="L321" i="1"/>
  <c r="L631" i="1"/>
  <c r="L628" i="1"/>
  <c r="L632" i="1"/>
  <c r="L633" i="1"/>
  <c r="L626" i="1"/>
  <c r="L627" i="1"/>
  <c r="L262" i="1"/>
  <c r="L320" i="1"/>
  <c r="L317" i="1"/>
  <c r="L319" i="1"/>
  <c r="L315" i="1"/>
  <c r="L316" i="1"/>
  <c r="L304" i="1"/>
  <c r="L314" i="1"/>
  <c r="L300" i="1"/>
  <c r="L302" i="1"/>
  <c r="L298" i="1"/>
  <c r="L299" i="1"/>
  <c r="L296" i="1"/>
  <c r="L297" i="1"/>
  <c r="L294" i="1"/>
  <c r="L295" i="1"/>
  <c r="L79" i="1"/>
  <c r="L313" i="1"/>
  <c r="L64" i="1"/>
  <c r="L65" i="1"/>
  <c r="L58" i="1"/>
  <c r="L59" i="1"/>
  <c r="L258" i="1"/>
  <c r="L241" i="1"/>
  <c r="L83" i="1"/>
  <c r="L368" i="1"/>
  <c r="L339" i="1"/>
  <c r="L426" i="1"/>
  <c r="L430" i="1"/>
  <c r="L337" i="1"/>
  <c r="L424" i="1"/>
  <c r="L422" i="1"/>
  <c r="L423" i="1"/>
  <c r="L419" i="1"/>
  <c r="L431" i="1"/>
  <c r="L418" i="1"/>
  <c r="L309" i="1"/>
  <c r="L306" i="1"/>
  <c r="L308" i="1"/>
  <c r="L618" i="1"/>
  <c r="L619" i="1"/>
  <c r="L596" i="1"/>
  <c r="L598" i="1"/>
  <c r="L562" i="1"/>
  <c r="L617" i="1"/>
  <c r="L564" i="1"/>
  <c r="L563" i="1"/>
  <c r="L401" i="1"/>
  <c r="L399" i="1"/>
  <c r="L416" i="1"/>
  <c r="L400" i="1"/>
  <c r="L556" i="1"/>
  <c r="L557" i="1"/>
  <c r="L616" i="1"/>
  <c r="L555" i="1"/>
  <c r="L581" i="1"/>
  <c r="L613" i="1"/>
  <c r="L549" i="1"/>
  <c r="L584" i="1"/>
  <c r="L582" i="1"/>
  <c r="L621" i="1"/>
  <c r="L583" i="1"/>
  <c r="L599" i="1"/>
  <c r="L620" i="1"/>
  <c r="L568" i="1"/>
  <c r="L590" i="1"/>
  <c r="L566" i="1"/>
  <c r="L567" i="1"/>
  <c r="L603" i="1"/>
  <c r="L565" i="1"/>
  <c r="L578" i="1"/>
  <c r="L548" i="1"/>
  <c r="L573" i="1"/>
  <c r="L577" i="1"/>
  <c r="L569" i="1"/>
  <c r="L571" i="1"/>
  <c r="L560" i="1"/>
  <c r="L561" i="1"/>
  <c r="L600" i="1"/>
  <c r="L559" i="1"/>
  <c r="L594" i="1"/>
  <c r="L595" i="1"/>
  <c r="L592" i="1"/>
  <c r="L593" i="1"/>
  <c r="L597" i="1"/>
  <c r="L601" i="1"/>
  <c r="L602" i="1"/>
  <c r="L591" i="1"/>
  <c r="L604" i="1"/>
  <c r="L605" i="1"/>
  <c r="L570" i="1"/>
  <c r="L572" i="1"/>
  <c r="L576" i="1"/>
  <c r="L575" i="1"/>
  <c r="L589" i="1"/>
  <c r="L574" i="1"/>
  <c r="L587" i="1"/>
  <c r="L588" i="1"/>
  <c r="L585" i="1"/>
  <c r="L586" i="1"/>
  <c r="L553" i="1"/>
  <c r="L554" i="1"/>
  <c r="L551" i="1"/>
  <c r="L552" i="1"/>
  <c r="L558" i="1"/>
  <c r="L550" i="1"/>
  <c r="L611" i="1"/>
  <c r="L612" i="1"/>
  <c r="L579" i="1"/>
  <c r="L580" i="1"/>
  <c r="L432" i="1"/>
  <c r="L547" i="1"/>
  <c r="L623" i="1"/>
  <c r="L477" i="1"/>
  <c r="L622" i="1"/>
  <c r="L221" i="1"/>
  <c r="L476" i="1"/>
  <c r="L609" i="1"/>
  <c r="L610" i="1"/>
  <c r="L607" i="1"/>
  <c r="L608" i="1"/>
  <c r="L473" i="1"/>
  <c r="L474" i="1"/>
  <c r="L420" i="1"/>
  <c r="L421" i="1"/>
  <c r="L518" i="1"/>
  <c r="L301" i="1"/>
  <c r="L546" i="1"/>
  <c r="L468" i="1"/>
  <c r="L533" i="1"/>
  <c r="L534" i="1"/>
  <c r="L544" i="1"/>
  <c r="L532" i="1"/>
  <c r="L469" i="1"/>
  <c r="L470" i="1"/>
  <c r="L472" i="1"/>
  <c r="L471" i="1"/>
  <c r="L491" i="1"/>
  <c r="L519" i="1"/>
  <c r="L433" i="1"/>
  <c r="L391" i="1"/>
  <c r="L497" i="1"/>
  <c r="L490" i="1"/>
  <c r="L494" i="1"/>
  <c r="L498" i="1"/>
  <c r="L495" i="1"/>
  <c r="L493" i="1"/>
  <c r="L489" i="1"/>
  <c r="L492" i="1"/>
  <c r="L496" i="1"/>
  <c r="L483" i="1"/>
  <c r="L488" i="1"/>
  <c r="L484" i="1"/>
  <c r="L482" i="1"/>
  <c r="L478" i="1"/>
  <c r="L480" i="1"/>
  <c r="L487" i="1"/>
  <c r="L479" i="1"/>
  <c r="L481" i="1"/>
  <c r="L485" i="1"/>
  <c r="L486" i="1"/>
  <c r="L303" i="1"/>
  <c r="L57" i="1"/>
  <c r="L44" i="1"/>
  <c r="L43" i="1"/>
  <c r="L34" i="1"/>
  <c r="L521" i="1"/>
  <c r="L32" i="1"/>
  <c r="L529" i="1"/>
  <c r="L280" i="1"/>
  <c r="L384" i="1"/>
  <c r="L513" i="1"/>
  <c r="L501" i="1"/>
  <c r="L505" i="1"/>
  <c r="L511" i="1"/>
  <c r="L509" i="1"/>
  <c r="L515" i="1"/>
  <c r="L514" i="1"/>
  <c r="L517" i="1"/>
  <c r="L504" i="1"/>
  <c r="L508" i="1"/>
  <c r="L502" i="1"/>
  <c r="L503" i="1"/>
  <c r="L512" i="1"/>
  <c r="L507" i="1"/>
  <c r="L516" i="1"/>
  <c r="L510" i="1"/>
  <c r="L506" i="1"/>
  <c r="L537" i="1"/>
  <c r="L524" i="1"/>
  <c r="L526" i="1"/>
  <c r="L536" i="1"/>
  <c r="L538" i="1"/>
  <c r="L98" i="1"/>
  <c r="L535" i="1"/>
  <c r="L374" i="1"/>
  <c r="L499" i="1"/>
  <c r="L372" i="1"/>
  <c r="L379" i="1"/>
  <c r="L375" i="1"/>
  <c r="L371" i="1"/>
  <c r="L475" i="1"/>
  <c r="L386" i="1"/>
  <c r="L447" i="1"/>
  <c r="L500" i="1"/>
  <c r="L523" i="1"/>
  <c r="L450" i="1"/>
  <c r="L461" i="1"/>
  <c r="L378" i="1"/>
  <c r="L449" i="1"/>
  <c r="L429" i="1"/>
  <c r="L146" i="1"/>
  <c r="L100" i="1"/>
  <c r="L305" i="1"/>
  <c r="L373" i="1"/>
  <c r="L464" i="1"/>
  <c r="L436" i="1"/>
  <c r="L278" i="1"/>
  <c r="L275" i="1"/>
  <c r="L389" i="1"/>
  <c r="L18" i="1"/>
  <c r="L442" i="1"/>
  <c r="L369" i="1"/>
  <c r="L440" i="1"/>
  <c r="L462" i="1"/>
  <c r="L197" i="1"/>
  <c r="L356" i="1"/>
  <c r="L205" i="1"/>
  <c r="L377" i="1"/>
  <c r="L380" i="1"/>
  <c r="L358" i="1"/>
  <c r="L383" i="1"/>
  <c r="L349" i="1"/>
  <c r="L359" i="1"/>
  <c r="L8" i="1"/>
  <c r="L355" i="1"/>
  <c r="L360" i="1"/>
  <c r="L15" i="1"/>
  <c r="L362" i="1"/>
  <c r="L210" i="1"/>
  <c r="L234" i="1"/>
  <c r="L5" i="1"/>
  <c r="L7" i="1"/>
  <c r="L466" i="1"/>
  <c r="L467" i="1"/>
  <c r="L448" i="1"/>
  <c r="L465" i="1"/>
  <c r="L452" i="1"/>
  <c r="L528" i="1"/>
  <c r="L444" i="1"/>
  <c r="L451" i="1"/>
  <c r="L463" i="1"/>
  <c r="L443" i="1"/>
  <c r="L438" i="1"/>
  <c r="L311" i="1"/>
  <c r="L446" i="1"/>
  <c r="L445" i="1"/>
  <c r="L437" i="1"/>
  <c r="L453" i="1"/>
  <c r="L455" i="1"/>
  <c r="L459" i="1"/>
  <c r="L460" i="1"/>
  <c r="L456" i="1"/>
  <c r="L457" i="1"/>
  <c r="L435" i="1"/>
  <c r="L441" i="1"/>
  <c r="L458" i="1"/>
  <c r="L347" i="1"/>
  <c r="L439" i="1"/>
  <c r="L283" i="1"/>
  <c r="L398" i="1"/>
  <c r="L393" i="1"/>
  <c r="L394" i="1"/>
  <c r="L427" i="1"/>
  <c r="L33" i="1"/>
  <c r="L201" i="1"/>
  <c r="L92" i="1"/>
  <c r="L392" i="1"/>
  <c r="L307" i="1"/>
  <c r="L417" i="1"/>
  <c r="L21" i="1"/>
  <c r="L151" i="1"/>
  <c r="L318" i="1"/>
  <c r="L111" i="1"/>
  <c r="L357" i="1"/>
  <c r="L353" i="1"/>
  <c r="L350" i="1"/>
  <c r="L354" i="1"/>
  <c r="L352" i="1"/>
  <c r="L348" i="1"/>
  <c r="L351" i="1"/>
  <c r="L364" i="1"/>
  <c r="L366" i="1"/>
  <c r="L361" i="1"/>
  <c r="L363" i="1"/>
  <c r="L346" i="1"/>
  <c r="L365" i="1"/>
  <c r="L454" i="1"/>
  <c r="L335" i="1"/>
  <c r="L367" i="1"/>
  <c r="L336" i="1"/>
  <c r="L343" i="1"/>
  <c r="L344" i="1"/>
  <c r="L345" i="1"/>
  <c r="L370" i="1"/>
  <c r="L428" i="1"/>
  <c r="L261" i="1"/>
  <c r="L396" i="1"/>
  <c r="L382" i="1"/>
  <c r="L395" i="1"/>
  <c r="L415" i="1"/>
  <c r="L385" i="1"/>
  <c r="L338" i="1"/>
  <c r="L28" i="1"/>
  <c r="L381" i="1"/>
  <c r="L13" i="1"/>
  <c r="L16" i="1"/>
  <c r="L14" i="1"/>
  <c r="L387" i="1"/>
  <c r="L246" i="1"/>
  <c r="L233" i="1"/>
  <c r="L235" i="1"/>
  <c r="L224" i="1"/>
  <c r="L212" i="1"/>
  <c r="L204" i="1"/>
  <c r="L207" i="1"/>
  <c r="L150" i="1"/>
  <c r="L325" i="1"/>
  <c r="L329" i="1"/>
  <c r="L327" i="1"/>
  <c r="L328" i="1"/>
  <c r="L326" i="1"/>
  <c r="L376" i="1"/>
  <c r="L324" i="1"/>
  <c r="L293" i="1"/>
  <c r="L290" i="1"/>
  <c r="L291" i="1"/>
  <c r="L292" i="1"/>
  <c r="L281" i="1"/>
  <c r="L288" i="1"/>
  <c r="L333" i="1"/>
  <c r="L334" i="1"/>
  <c r="L289" i="1"/>
  <c r="L332" i="1"/>
  <c r="L330" i="1"/>
  <c r="L331" i="1"/>
  <c r="L17" i="1"/>
  <c r="F215" i="1" l="1"/>
  <c r="L525" i="1" l="1"/>
  <c r="L279" i="1"/>
  <c r="F276" i="1" l="1"/>
  <c r="F277" i="1"/>
  <c r="F24" i="1" l="1"/>
  <c r="F20" i="1"/>
  <c r="F273" i="1" l="1"/>
  <c r="F272" i="1" l="1"/>
  <c r="F271" i="1"/>
  <c r="F23" i="1"/>
  <c r="F270" i="1" l="1"/>
  <c r="F269" i="1" l="1"/>
  <c r="F268" i="1"/>
  <c r="F402" i="1" l="1"/>
  <c r="F26" i="1" l="1"/>
  <c r="F25" i="1"/>
  <c r="F282" i="1" l="1"/>
  <c r="F286" i="1"/>
  <c r="F284" i="1"/>
  <c r="F285" i="1"/>
  <c r="F263" i="1" l="1"/>
  <c r="F267" i="1" l="1"/>
  <c r="F264" i="1"/>
  <c r="F19" i="1"/>
  <c r="F266" i="1"/>
  <c r="F265" i="1"/>
  <c r="F22" i="1"/>
  <c r="F30" i="1" l="1"/>
  <c r="F101" i="1" l="1"/>
  <c r="F129" i="1" l="1"/>
  <c r="F121" i="1" l="1"/>
  <c r="F120" i="1"/>
  <c r="F252" i="1"/>
  <c r="F27" i="1"/>
  <c r="F425" i="1" l="1"/>
  <c r="F390" i="1" l="1"/>
  <c r="F260" i="1"/>
  <c r="F108" i="1"/>
  <c r="F259" i="1"/>
  <c r="F196" i="1"/>
  <c r="F10" i="1" l="1"/>
  <c r="F11" i="1"/>
  <c r="F257" i="1"/>
  <c r="F9" i="1"/>
  <c r="F256" i="1" l="1"/>
  <c r="F255" i="1"/>
  <c r="F253" i="1"/>
  <c r="F254" i="1" l="1"/>
  <c r="F4" i="1" l="1"/>
  <c r="F248" i="1" l="1"/>
  <c r="F250" i="1"/>
  <c r="F130" i="1" l="1"/>
  <c r="L130" i="1" s="1"/>
  <c r="F195" i="1"/>
  <c r="F122" i="1"/>
  <c r="F123" i="1"/>
  <c r="F133" i="1" l="1"/>
  <c r="F193" i="1"/>
  <c r="F119" i="1"/>
  <c r="F127" i="1"/>
  <c r="F134" i="1"/>
  <c r="F181" i="1"/>
  <c r="F251" i="1" l="1"/>
  <c r="F249" i="1"/>
  <c r="F312" i="1"/>
  <c r="F520" i="1"/>
  <c r="F242" i="1"/>
  <c r="F240" i="1"/>
  <c r="F239" i="1"/>
  <c r="F247" i="1"/>
  <c r="F166" i="1"/>
  <c r="F139" i="1"/>
  <c r="F194" i="1"/>
  <c r="F244" i="1"/>
  <c r="F245" i="1"/>
  <c r="F243" i="1"/>
  <c r="F237" i="1"/>
  <c r="F238" i="1"/>
  <c r="F35" i="1"/>
  <c r="F90" i="1"/>
  <c r="F96" i="1"/>
  <c r="F94" i="1" l="1"/>
  <c r="F97" i="1" l="1"/>
  <c r="F95" i="1" l="1"/>
  <c r="F115" i="1" l="1"/>
  <c r="F174" i="1" l="1"/>
  <c r="F397" i="1" l="1"/>
  <c r="F236" i="1" l="1"/>
  <c r="F183" i="1" l="1"/>
  <c r="F185" i="1"/>
  <c r="F186" i="1"/>
  <c r="F187" i="1"/>
  <c r="F188" i="1"/>
  <c r="F189" i="1"/>
  <c r="F190" i="1"/>
  <c r="F191" i="1"/>
  <c r="F192" i="1"/>
  <c r="F198" i="1" l="1"/>
  <c r="F228" i="1" l="1"/>
  <c r="F232" i="1" l="1"/>
  <c r="F231" i="1"/>
  <c r="F230" i="1"/>
  <c r="F229" i="1"/>
  <c r="F227" i="1"/>
  <c r="F226" i="1"/>
  <c r="F225" i="1"/>
  <c r="F223" i="1"/>
  <c r="F222" i="1"/>
  <c r="F220" i="1"/>
  <c r="F219" i="1"/>
  <c r="F218" i="1"/>
  <c r="F217" i="1"/>
  <c r="F216" i="1"/>
  <c r="F214" i="1"/>
  <c r="F213" i="1"/>
  <c r="F211" i="1"/>
  <c r="F209" i="1"/>
  <c r="F208" i="1"/>
  <c r="F206" i="1"/>
  <c r="F203" i="1"/>
  <c r="F202" i="1"/>
  <c r="F200" i="1"/>
  <c r="F199" i="1"/>
  <c r="F182" i="1"/>
  <c r="F180" i="1"/>
  <c r="F178" i="1"/>
  <c r="F177" i="1"/>
  <c r="F176" i="1"/>
  <c r="F175" i="1"/>
  <c r="F173" i="1"/>
  <c r="F172" i="1"/>
  <c r="F171" i="1"/>
  <c r="F170" i="1"/>
  <c r="F169" i="1"/>
  <c r="F168" i="1"/>
  <c r="F167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6" i="1"/>
  <c r="F149" i="1"/>
  <c r="F148" i="1"/>
  <c r="F147" i="1"/>
  <c r="F144" i="1"/>
  <c r="F143" i="1"/>
  <c r="F142" i="1"/>
  <c r="F141" i="1"/>
  <c r="F140" i="1"/>
  <c r="F138" i="1"/>
  <c r="F137" i="1"/>
  <c r="F136" i="1"/>
  <c r="F135" i="1"/>
  <c r="F132" i="1"/>
  <c r="F126" i="1"/>
  <c r="F125" i="1"/>
  <c r="F124" i="1"/>
  <c r="F117" i="1"/>
  <c r="F116" i="1"/>
  <c r="F114" i="1"/>
  <c r="F113" i="1"/>
  <c r="F112" i="1"/>
  <c r="F110" i="1"/>
  <c r="F107" i="1" l="1"/>
  <c r="F106" i="1"/>
  <c r="F105" i="1"/>
  <c r="F104" i="1"/>
  <c r="F103" i="1"/>
  <c r="F102" i="1"/>
  <c r="F99" i="1"/>
  <c r="F310" i="1"/>
  <c r="F91" i="1"/>
  <c r="F89" i="1"/>
  <c r="F88" i="1"/>
  <c r="F87" i="1"/>
  <c r="F86" i="1"/>
  <c r="F85" i="1"/>
  <c r="F84" i="1"/>
  <c r="F82" i="1"/>
  <c r="F81" i="1"/>
  <c r="F80" i="1"/>
  <c r="F78" i="1"/>
  <c r="F77" i="1"/>
  <c r="F76" i="1"/>
  <c r="F75" i="1"/>
  <c r="F74" i="1"/>
  <c r="F73" i="1"/>
  <c r="F72" i="1"/>
  <c r="F71" i="1"/>
  <c r="F70" i="1"/>
  <c r="F69" i="1"/>
  <c r="F67" i="1"/>
  <c r="F66" i="1"/>
  <c r="F63" i="1"/>
  <c r="F62" i="1"/>
  <c r="F61" i="1"/>
  <c r="F60" i="1"/>
  <c r="F54" i="1"/>
  <c r="F53" i="1"/>
  <c r="F52" i="1"/>
  <c r="F51" i="1"/>
  <c r="F50" i="1"/>
  <c r="F49" i="1"/>
  <c r="F48" i="1"/>
  <c r="F47" i="1"/>
  <c r="F46" i="1"/>
  <c r="F45" i="1"/>
  <c r="F42" i="1"/>
  <c r="F41" i="1"/>
  <c r="F40" i="1"/>
  <c r="F38" i="1"/>
  <c r="F37" i="1"/>
  <c r="F29" i="1"/>
  <c r="F274" i="1"/>
  <c r="F145" i="1"/>
  <c r="L215" i="1" l="1"/>
  <c r="L276" i="1"/>
  <c r="L277" i="1"/>
  <c r="L20" i="1"/>
  <c r="L24" i="1"/>
  <c r="L273" i="1"/>
  <c r="L23" i="1"/>
  <c r="L271" i="1"/>
  <c r="L272" i="1"/>
  <c r="L270" i="1"/>
  <c r="L402" i="1"/>
  <c r="L269" i="1"/>
  <c r="L268" i="1"/>
  <c r="L26" i="1"/>
  <c r="L25" i="1"/>
  <c r="L286" i="1"/>
  <c r="L282" i="1"/>
  <c r="L284" i="1"/>
  <c r="L285" i="1"/>
  <c r="L267" i="1"/>
  <c r="L263" i="1"/>
  <c r="L19" i="1"/>
  <c r="L264" i="1"/>
  <c r="L265" i="1"/>
  <c r="L266" i="1"/>
  <c r="L22" i="1"/>
  <c r="L30" i="1"/>
  <c r="L66" i="1"/>
  <c r="L129" i="1"/>
  <c r="L173" i="1"/>
  <c r="L121" i="1"/>
  <c r="L109" i="1"/>
  <c r="L252" i="1"/>
  <c r="L120" i="1"/>
  <c r="L214" i="1"/>
  <c r="L27" i="1"/>
  <c r="L231" i="1"/>
  <c r="L425" i="1"/>
  <c r="L390" i="1"/>
  <c r="L260" i="1"/>
  <c r="L141" i="1"/>
  <c r="L259" i="1"/>
  <c r="L11" i="1"/>
  <c r="L10" i="1"/>
  <c r="L9" i="1"/>
  <c r="L257" i="1"/>
  <c r="L108" i="1"/>
  <c r="L101" i="1"/>
  <c r="L255" i="1"/>
  <c r="L256" i="1"/>
  <c r="L254" i="1"/>
  <c r="L253" i="1"/>
  <c r="L4" i="1"/>
  <c r="L248" i="1"/>
  <c r="L250" i="1"/>
  <c r="L195" i="1"/>
  <c r="L123" i="1"/>
  <c r="L122" i="1"/>
  <c r="L133" i="1"/>
  <c r="L193" i="1"/>
  <c r="L127" i="1"/>
  <c r="L119" i="1"/>
  <c r="L145" i="1"/>
  <c r="L312" i="1"/>
  <c r="L35" i="1"/>
  <c r="L29" i="1"/>
  <c r="L37" i="1"/>
  <c r="L38" i="1"/>
  <c r="L45" i="1"/>
  <c r="L46" i="1"/>
  <c r="L48" i="1"/>
  <c r="L50" i="1"/>
  <c r="L52" i="1"/>
  <c r="L54" i="1"/>
  <c r="L60" i="1"/>
  <c r="L62" i="1"/>
  <c r="L70" i="1"/>
  <c r="L73" i="1"/>
  <c r="L74" i="1"/>
  <c r="L76" i="1"/>
  <c r="L78" i="1"/>
  <c r="L80" i="1"/>
  <c r="L81" i="1"/>
  <c r="L86" i="1"/>
  <c r="L90" i="1"/>
  <c r="L94" i="1"/>
  <c r="L95" i="1"/>
  <c r="L96" i="1"/>
  <c r="L99" i="1"/>
  <c r="L104" i="1"/>
  <c r="L106" i="1"/>
  <c r="L110" i="1"/>
  <c r="L112" i="1"/>
  <c r="L114" i="1"/>
  <c r="L117" i="1"/>
  <c r="L124" i="1"/>
  <c r="L125" i="1"/>
  <c r="L126" i="1"/>
  <c r="L134" i="1"/>
  <c r="L137" i="1"/>
  <c r="L144" i="1"/>
  <c r="L148" i="1"/>
  <c r="L6" i="1"/>
  <c r="L154" i="1"/>
  <c r="L155" i="1"/>
  <c r="L159" i="1"/>
  <c r="L161" i="1"/>
  <c r="L163" i="1"/>
  <c r="L164" i="1"/>
  <c r="L165" i="1"/>
  <c r="L167" i="1"/>
  <c r="L169" i="1"/>
  <c r="L171" i="1"/>
  <c r="L175" i="1"/>
  <c r="L177" i="1"/>
  <c r="L179" i="1"/>
  <c r="L181" i="1"/>
  <c r="L183" i="1"/>
  <c r="L185" i="1"/>
  <c r="L187" i="1"/>
  <c r="L188" i="1"/>
  <c r="L190" i="1"/>
  <c r="L192" i="1"/>
  <c r="L194" i="1"/>
  <c r="L196" i="1"/>
  <c r="L203" i="1"/>
  <c r="L206" i="1"/>
  <c r="L208" i="1"/>
  <c r="L209" i="1"/>
  <c r="L211" i="1"/>
  <c r="L213" i="1"/>
  <c r="L218" i="1"/>
  <c r="L220" i="1"/>
  <c r="L222" i="1"/>
  <c r="L226" i="1"/>
  <c r="L230" i="1"/>
  <c r="L232" i="1"/>
  <c r="L237" i="1"/>
  <c r="L239" i="1"/>
  <c r="L243" i="1"/>
  <c r="L245" i="1"/>
  <c r="L249" i="1"/>
  <c r="L251" i="1"/>
  <c r="L274" i="1"/>
  <c r="L40" i="1"/>
  <c r="L41" i="1"/>
  <c r="L42" i="1"/>
  <c r="L47" i="1"/>
  <c r="L49" i="1"/>
  <c r="L51" i="1"/>
  <c r="L53" i="1"/>
  <c r="L61" i="1"/>
  <c r="L63" i="1"/>
  <c r="L67" i="1"/>
  <c r="L69" i="1"/>
  <c r="L71" i="1"/>
  <c r="L72" i="1"/>
  <c r="L75" i="1"/>
  <c r="L77" i="1"/>
  <c r="L82" i="1"/>
  <c r="L84" i="1"/>
  <c r="L85" i="1"/>
  <c r="L87" i="1"/>
  <c r="L88" i="1"/>
  <c r="L89" i="1"/>
  <c r="L91" i="1"/>
  <c r="L310" i="1"/>
  <c r="L97" i="1"/>
  <c r="L520" i="1"/>
  <c r="L102" i="1"/>
  <c r="L103" i="1"/>
  <c r="L105" i="1"/>
  <c r="L107" i="1"/>
  <c r="L113" i="1"/>
  <c r="L115" i="1"/>
  <c r="L116" i="1"/>
  <c r="L132" i="1"/>
  <c r="L135" i="1"/>
  <c r="L136" i="1"/>
  <c r="L138" i="1"/>
  <c r="L139" i="1"/>
  <c r="L140" i="1"/>
  <c r="L142" i="1"/>
  <c r="L143" i="1"/>
  <c r="L147" i="1"/>
  <c r="L149" i="1"/>
  <c r="L152" i="1"/>
  <c r="L153" i="1"/>
  <c r="L156" i="1"/>
  <c r="L157" i="1"/>
  <c r="L158" i="1"/>
  <c r="L160" i="1"/>
  <c r="L162" i="1"/>
  <c r="L166" i="1"/>
  <c r="L168" i="1"/>
  <c r="L170" i="1"/>
  <c r="L172" i="1"/>
  <c r="L174" i="1"/>
  <c r="L176" i="1"/>
  <c r="L178" i="1"/>
  <c r="L180" i="1"/>
  <c r="L182" i="1"/>
  <c r="L186" i="1"/>
  <c r="L189" i="1"/>
  <c r="L191" i="1"/>
  <c r="L198" i="1"/>
  <c r="L199" i="1"/>
  <c r="L200" i="1"/>
  <c r="L202" i="1"/>
  <c r="L216" i="1"/>
  <c r="L217" i="1"/>
  <c r="L219" i="1"/>
  <c r="L223" i="1"/>
  <c r="L225" i="1"/>
  <c r="L227" i="1"/>
  <c r="L228" i="1"/>
  <c r="L229" i="1"/>
  <c r="L397" i="1"/>
  <c r="L236" i="1"/>
  <c r="L238" i="1"/>
  <c r="L240" i="1"/>
  <c r="L242" i="1"/>
  <c r="L244" i="1"/>
  <c r="L247" i="1"/>
</calcChain>
</file>

<file path=xl/sharedStrings.xml><?xml version="1.0" encoding="utf-8"?>
<sst xmlns="http://schemas.openxmlformats.org/spreadsheetml/2006/main" count="5092" uniqueCount="2196">
  <si>
    <t>DESCRIÇÃO</t>
  </si>
  <si>
    <t>PART NUMBER</t>
  </si>
  <si>
    <t>PRÓXIMA CALIBRAÇÃO</t>
  </si>
  <si>
    <t>CONDIÇÃO</t>
  </si>
  <si>
    <t>STATUS</t>
  </si>
  <si>
    <t>CLIENTE</t>
  </si>
  <si>
    <t>APROVADO</t>
  </si>
  <si>
    <t>GM</t>
  </si>
  <si>
    <t>REVISÃO</t>
  </si>
  <si>
    <t>DATA</t>
  </si>
  <si>
    <t>5U0422903</t>
  </si>
  <si>
    <t>50295-T7A-0000</t>
  </si>
  <si>
    <t>50290-T7A-0000</t>
  </si>
  <si>
    <t>50276-T5E-0000</t>
  </si>
  <si>
    <t>50275-T5E-0000</t>
  </si>
  <si>
    <t>18198-RNA-A000</t>
  </si>
  <si>
    <t>71137-T9A-T000-H1</t>
  </si>
  <si>
    <t>60632-TEAA-ZZ00</t>
  </si>
  <si>
    <t>60630-TEAA-ZZ00</t>
  </si>
  <si>
    <t>60434-TRYA-M000-H1</t>
  </si>
  <si>
    <t>60631-T7J-H000-H1</t>
  </si>
  <si>
    <t>32763-T7J-H000-H1</t>
  </si>
  <si>
    <t>60635-T7J-H000-H1</t>
  </si>
  <si>
    <t>60634-T7J-H000-H1</t>
  </si>
  <si>
    <t>63218-SJD-3000</t>
  </si>
  <si>
    <t>60632-T7J-H000-H1</t>
  </si>
  <si>
    <t>60633-T7J-H000-H1</t>
  </si>
  <si>
    <t>17521-TEM-M000</t>
  </si>
  <si>
    <t>60938-TBA-A000-H1</t>
  </si>
  <si>
    <t>66113-TBA-A000-H1</t>
  </si>
  <si>
    <t>63219-SJD-3000</t>
  </si>
  <si>
    <t>YAMAHA</t>
  </si>
  <si>
    <t>HONDA</t>
  </si>
  <si>
    <t>AUTOLIV</t>
  </si>
  <si>
    <t>TOYOTA</t>
  </si>
  <si>
    <t>VOLKSWAGEN</t>
  </si>
  <si>
    <t>A0060519</t>
  </si>
  <si>
    <t>451633-11340</t>
  </si>
  <si>
    <t>451634-11340</t>
  </si>
  <si>
    <t>AISIN</t>
  </si>
  <si>
    <t>46439-0A040</t>
  </si>
  <si>
    <t>67361-K1010</t>
  </si>
  <si>
    <t>67391-K1010</t>
  </si>
  <si>
    <t>77705-0A010</t>
  </si>
  <si>
    <t>77705-0A020</t>
  </si>
  <si>
    <t>67121-BX000</t>
  </si>
  <si>
    <t>HYUNDAI</t>
  </si>
  <si>
    <t>67121-BX050</t>
  </si>
  <si>
    <t>67142-BV000</t>
  </si>
  <si>
    <t>67152-BV000</t>
  </si>
  <si>
    <t>67162-BV000</t>
  </si>
  <si>
    <t>67172-BV000</t>
  </si>
  <si>
    <t>61647-K1010</t>
  </si>
  <si>
    <t>61648-K1010</t>
  </si>
  <si>
    <t>64135-BX000</t>
  </si>
  <si>
    <t>64116-BW000</t>
  </si>
  <si>
    <t>KANJIKO</t>
  </si>
  <si>
    <t>61664-K1010</t>
  </si>
  <si>
    <t>64101-BX000</t>
  </si>
  <si>
    <t>RENAULT</t>
  </si>
  <si>
    <t>WEIDPLAS</t>
  </si>
  <si>
    <t>TR METROLOGIA</t>
  </si>
  <si>
    <t>G-KTB</t>
  </si>
  <si>
    <t>77545-T08-T000</t>
  </si>
  <si>
    <t>N/A</t>
  </si>
  <si>
    <t>STELLANTIS</t>
  </si>
  <si>
    <t>USI-EVAN</t>
  </si>
  <si>
    <t>17358-3M6A-M000</t>
  </si>
  <si>
    <t>65764-T5E-3000</t>
  </si>
  <si>
    <t>COMP2542</t>
  </si>
  <si>
    <t>51250-02060</t>
  </si>
  <si>
    <t>625121091R</t>
  </si>
  <si>
    <t>625122819R</t>
  </si>
  <si>
    <t>625131126R</t>
  </si>
  <si>
    <t>625183002R</t>
  </si>
  <si>
    <t>625189513R</t>
  </si>
  <si>
    <t>625191759R</t>
  </si>
  <si>
    <t>625198464R</t>
  </si>
  <si>
    <t>648608098R</t>
  </si>
  <si>
    <t>791601716R</t>
  </si>
  <si>
    <t>625186029R</t>
  </si>
  <si>
    <t>625190074R</t>
  </si>
  <si>
    <t>794304078R</t>
  </si>
  <si>
    <t>794313242R</t>
  </si>
  <si>
    <t>625167505R</t>
  </si>
  <si>
    <t>256275509R</t>
  </si>
  <si>
    <t>745414765R</t>
  </si>
  <si>
    <t>745403376R</t>
  </si>
  <si>
    <t>799124341R</t>
  </si>
  <si>
    <t>799114178R</t>
  </si>
  <si>
    <t>64137-BX000</t>
  </si>
  <si>
    <t>625158530R</t>
  </si>
  <si>
    <t>764E27295R / 764E26626R</t>
  </si>
  <si>
    <t>625115659R</t>
  </si>
  <si>
    <t>2CC-F4192-00</t>
  </si>
  <si>
    <t>64151-BX000</t>
  </si>
  <si>
    <t>17358-3M6A-0000-20</t>
  </si>
  <si>
    <t>64133-BX000</t>
  </si>
  <si>
    <t>767423751R</t>
  </si>
  <si>
    <t>64162-BX000</t>
  </si>
  <si>
    <t>64164-BX000</t>
  </si>
  <si>
    <t>67134-BW000</t>
  </si>
  <si>
    <t>64121-BX000</t>
  </si>
  <si>
    <t>64111-BX000</t>
  </si>
  <si>
    <t>77751-0A120</t>
  </si>
  <si>
    <t>NISSAN</t>
  </si>
  <si>
    <t>625046994R</t>
  </si>
  <si>
    <t>Nº  DISPOSITIVO 
(DC)</t>
  </si>
  <si>
    <t>Felipe Perez</t>
  </si>
  <si>
    <t>INATIVO</t>
  </si>
  <si>
    <t>52171064 (ANT. 52138247)</t>
  </si>
  <si>
    <t>965</t>
  </si>
  <si>
    <t>966</t>
  </si>
  <si>
    <t>1317</t>
  </si>
  <si>
    <t>1294</t>
  </si>
  <si>
    <t>1327</t>
  </si>
  <si>
    <t>1298</t>
  </si>
  <si>
    <t>372</t>
  </si>
  <si>
    <t>19.A</t>
  </si>
  <si>
    <t>23.A</t>
  </si>
  <si>
    <t>24.A</t>
  </si>
  <si>
    <t>478</t>
  </si>
  <si>
    <t>100000055100</t>
  </si>
  <si>
    <t>100000055900</t>
  </si>
  <si>
    <t>1154</t>
  </si>
  <si>
    <t>100000054300</t>
  </si>
  <si>
    <t>400001501900</t>
  </si>
  <si>
    <t>1155</t>
  </si>
  <si>
    <t>1142</t>
  </si>
  <si>
    <t>585</t>
  </si>
  <si>
    <t>1251</t>
  </si>
  <si>
    <t>1249</t>
  </si>
  <si>
    <t>1248</t>
  </si>
  <si>
    <t>1247</t>
  </si>
  <si>
    <t>1245</t>
  </si>
  <si>
    <t>1244</t>
  </si>
  <si>
    <t>1238</t>
  </si>
  <si>
    <t>1272</t>
  </si>
  <si>
    <t>1269</t>
  </si>
  <si>
    <t>1266</t>
  </si>
  <si>
    <t>100000054201</t>
  </si>
  <si>
    <t>10000005250120</t>
  </si>
  <si>
    <t>100000052400</t>
  </si>
  <si>
    <t>100000052102</t>
  </si>
  <si>
    <t>1107</t>
  </si>
  <si>
    <t>1073</t>
  </si>
  <si>
    <t>1066</t>
  </si>
  <si>
    <t>1055</t>
  </si>
  <si>
    <t>1255</t>
  </si>
  <si>
    <t>1253</t>
  </si>
  <si>
    <t>1252</t>
  </si>
  <si>
    <t>1250</t>
  </si>
  <si>
    <t>1224</t>
  </si>
  <si>
    <t>1225</t>
  </si>
  <si>
    <t>1246</t>
  </si>
  <si>
    <t>1242</t>
  </si>
  <si>
    <t>1239</t>
  </si>
  <si>
    <t>1375</t>
  </si>
  <si>
    <t>1384</t>
  </si>
  <si>
    <t>1371</t>
  </si>
  <si>
    <t>1370</t>
  </si>
  <si>
    <t>1385</t>
  </si>
  <si>
    <t>1383</t>
  </si>
  <si>
    <t>1374</t>
  </si>
  <si>
    <t>1369</t>
  </si>
  <si>
    <t>1368</t>
  </si>
  <si>
    <t>1367</t>
  </si>
  <si>
    <t>1366</t>
  </si>
  <si>
    <t>1361</t>
  </si>
  <si>
    <t>1382</t>
  </si>
  <si>
    <t>1359</t>
  </si>
  <si>
    <t>1358</t>
  </si>
  <si>
    <t>1356</t>
  </si>
  <si>
    <t>1357</t>
  </si>
  <si>
    <t>1380</t>
  </si>
  <si>
    <t>1376</t>
  </si>
  <si>
    <t>1381</t>
  </si>
  <si>
    <t>1377</t>
  </si>
  <si>
    <t>1378</t>
  </si>
  <si>
    <t>1379</t>
  </si>
  <si>
    <t>1362</t>
  </si>
  <si>
    <t>1364</t>
  </si>
  <si>
    <t>1365</t>
  </si>
  <si>
    <t>1372</t>
  </si>
  <si>
    <t>1373</t>
  </si>
  <si>
    <t>1363</t>
  </si>
  <si>
    <t>1360</t>
  </si>
  <si>
    <t>1388</t>
  </si>
  <si>
    <t>1387</t>
  </si>
  <si>
    <t>1386</t>
  </si>
  <si>
    <t>1236</t>
  </si>
  <si>
    <t>1241</t>
  </si>
  <si>
    <t>1254</t>
  </si>
  <si>
    <t>1243</t>
  </si>
  <si>
    <t>1240</t>
  </si>
  <si>
    <t>1256</t>
  </si>
  <si>
    <t>1259</t>
  </si>
  <si>
    <t>1234</t>
  </si>
  <si>
    <t>1233</t>
  </si>
  <si>
    <t>1232</t>
  </si>
  <si>
    <t>1328</t>
  </si>
  <si>
    <t>1329</t>
  </si>
  <si>
    <t>1271</t>
  </si>
  <si>
    <t>1296</t>
  </si>
  <si>
    <t>1295</t>
  </si>
  <si>
    <t>652</t>
  </si>
  <si>
    <t>654</t>
  </si>
  <si>
    <t>675</t>
  </si>
  <si>
    <t>699</t>
  </si>
  <si>
    <t>705</t>
  </si>
  <si>
    <t>708</t>
  </si>
  <si>
    <t>709</t>
  </si>
  <si>
    <t>729</t>
  </si>
  <si>
    <t>730</t>
  </si>
  <si>
    <t>731</t>
  </si>
  <si>
    <t>732</t>
  </si>
  <si>
    <t>737</t>
  </si>
  <si>
    <t>738</t>
  </si>
  <si>
    <t>744</t>
  </si>
  <si>
    <t>745</t>
  </si>
  <si>
    <t>746</t>
  </si>
  <si>
    <t>747</t>
  </si>
  <si>
    <t>750</t>
  </si>
  <si>
    <t>751</t>
  </si>
  <si>
    <t>757</t>
  </si>
  <si>
    <t>758</t>
  </si>
  <si>
    <t>759</t>
  </si>
  <si>
    <t>763</t>
  </si>
  <si>
    <t>775</t>
  </si>
  <si>
    <t>780</t>
  </si>
  <si>
    <t>783</t>
  </si>
  <si>
    <t>784</t>
  </si>
  <si>
    <t>787</t>
  </si>
  <si>
    <t>788</t>
  </si>
  <si>
    <t>797</t>
  </si>
  <si>
    <t>802</t>
  </si>
  <si>
    <t>803</t>
  </si>
  <si>
    <t>806</t>
  </si>
  <si>
    <t>808</t>
  </si>
  <si>
    <t>811</t>
  </si>
  <si>
    <t>836</t>
  </si>
  <si>
    <t>840</t>
  </si>
  <si>
    <t>842</t>
  </si>
  <si>
    <t>845</t>
  </si>
  <si>
    <t>846</t>
  </si>
  <si>
    <t>847</t>
  </si>
  <si>
    <t>1292</t>
  </si>
  <si>
    <t>22.A</t>
  </si>
  <si>
    <t>851</t>
  </si>
  <si>
    <t>857</t>
  </si>
  <si>
    <t>858</t>
  </si>
  <si>
    <t>860</t>
  </si>
  <si>
    <t>1443</t>
  </si>
  <si>
    <t>863</t>
  </si>
  <si>
    <t>866</t>
  </si>
  <si>
    <t>871 / 872</t>
  </si>
  <si>
    <t>1315</t>
  </si>
  <si>
    <t>1275</t>
  </si>
  <si>
    <t>1227</t>
  </si>
  <si>
    <t>864</t>
  </si>
  <si>
    <t>1274</t>
  </si>
  <si>
    <t>1262</t>
  </si>
  <si>
    <t>1263</t>
  </si>
  <si>
    <t>1268</t>
  </si>
  <si>
    <t>1261</t>
  </si>
  <si>
    <t>1260</t>
  </si>
  <si>
    <t>1264</t>
  </si>
  <si>
    <t>1267</t>
  </si>
  <si>
    <t>1265</t>
  </si>
  <si>
    <t>1258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</si>
  <si>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</si>
  <si>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</si>
  <si>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</si>
  <si>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</si>
  <si>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</si>
  <si>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</si>
  <si>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</si>
  <si>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</si>
  <si>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</si>
  <si>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1423</t>
  </si>
  <si>
    <t>1396</t>
  </si>
  <si>
    <t>1422</t>
  </si>
  <si>
    <t>1214</t>
  </si>
  <si>
    <t>1213</t>
  </si>
  <si>
    <t>1212</t>
  </si>
  <si>
    <t>1211</t>
  </si>
  <si>
    <t>1210</t>
  </si>
  <si>
    <t>1209</t>
  </si>
  <si>
    <t>1208</t>
  </si>
  <si>
    <t>1207</t>
  </si>
  <si>
    <t>1200</t>
  </si>
  <si>
    <t>1302</t>
  </si>
  <si>
    <t>100000056900</t>
  </si>
  <si>
    <t>100000057800</t>
  </si>
  <si>
    <t>100000057500</t>
  </si>
  <si>
    <t>100000055700</t>
  </si>
  <si>
    <t>100000056100/200</t>
  </si>
  <si>
    <t>100000055300</t>
  </si>
  <si>
    <t>64000071050020</t>
  </si>
  <si>
    <t>1201</t>
  </si>
  <si>
    <t>400001501801</t>
  </si>
  <si>
    <t>1204</t>
  </si>
  <si>
    <t>1203</t>
  </si>
  <si>
    <t>1205</t>
  </si>
  <si>
    <t>1285</t>
  </si>
  <si>
    <t>100000053500</t>
  </si>
  <si>
    <t>100000053300</t>
  </si>
  <si>
    <t>100000052800</t>
  </si>
  <si>
    <t>100000052700</t>
  </si>
  <si>
    <t>100000052900</t>
  </si>
  <si>
    <t>100000052101</t>
  </si>
  <si>
    <t>879</t>
  </si>
  <si>
    <t>880</t>
  </si>
  <si>
    <t>883</t>
  </si>
  <si>
    <t>884</t>
  </si>
  <si>
    <t>885</t>
  </si>
  <si>
    <t>893</t>
  </si>
  <si>
    <t>898</t>
  </si>
  <si>
    <t>899</t>
  </si>
  <si>
    <t>900</t>
  </si>
  <si>
    <t>15.A</t>
  </si>
  <si>
    <t>17.A</t>
  </si>
  <si>
    <t>111.A</t>
  </si>
  <si>
    <t>901</t>
  </si>
  <si>
    <t>902</t>
  </si>
  <si>
    <t>903</t>
  </si>
  <si>
    <t>904</t>
  </si>
  <si>
    <t>908</t>
  </si>
  <si>
    <t>909</t>
  </si>
  <si>
    <t>915</t>
  </si>
  <si>
    <t>916</t>
  </si>
  <si>
    <t>917</t>
  </si>
  <si>
    <t>918</t>
  </si>
  <si>
    <t>919</t>
  </si>
  <si>
    <t>922</t>
  </si>
  <si>
    <t>924</t>
  </si>
  <si>
    <t>926</t>
  </si>
  <si>
    <t>930</t>
  </si>
  <si>
    <t>934</t>
  </si>
  <si>
    <t>936</t>
  </si>
  <si>
    <t>941</t>
  </si>
  <si>
    <t>943</t>
  </si>
  <si>
    <t>944</t>
  </si>
  <si>
    <t>947</t>
  </si>
  <si>
    <t>951</t>
  </si>
  <si>
    <t>952</t>
  </si>
  <si>
    <t>953</t>
  </si>
  <si>
    <t>955</t>
  </si>
  <si>
    <t>957</t>
  </si>
  <si>
    <t>958</t>
  </si>
  <si>
    <t>959</t>
  </si>
  <si>
    <t>963</t>
  </si>
  <si>
    <t>964</t>
  </si>
  <si>
    <t>969</t>
  </si>
  <si>
    <t>970</t>
  </si>
  <si>
    <t>973</t>
  </si>
  <si>
    <t>975</t>
  </si>
  <si>
    <t>976</t>
  </si>
  <si>
    <t>100000052201</t>
  </si>
  <si>
    <t>977</t>
  </si>
  <si>
    <t>979</t>
  </si>
  <si>
    <t>982</t>
  </si>
  <si>
    <t>1162</t>
  </si>
  <si>
    <t>1450</t>
  </si>
  <si>
    <t>1449</t>
  </si>
  <si>
    <t>1448</t>
  </si>
  <si>
    <t>1468</t>
  </si>
  <si>
    <t>1471</t>
  </si>
  <si>
    <t>1470</t>
  </si>
  <si>
    <t>1469</t>
  </si>
  <si>
    <t>1161</t>
  </si>
  <si>
    <t>1158</t>
  </si>
  <si>
    <t>1157</t>
  </si>
  <si>
    <t>1447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</si>
  <si>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</si>
  <si>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</si>
  <si>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</si>
  <si>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</si>
  <si>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</si>
  <si>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</si>
  <si>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</si>
  <si>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</si>
  <si>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</si>
  <si>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</si>
  <si>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</si>
  <si>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1288</t>
  </si>
  <si>
    <t>1141</t>
  </si>
  <si>
    <t>1140</t>
  </si>
  <si>
    <t>1139</t>
  </si>
  <si>
    <t>1137</t>
  </si>
  <si>
    <t>1135</t>
  </si>
  <si>
    <t>1134</t>
  </si>
  <si>
    <t>1133</t>
  </si>
  <si>
    <t>1132</t>
  </si>
  <si>
    <t>1131</t>
  </si>
  <si>
    <t>1130</t>
  </si>
  <si>
    <t>1129</t>
  </si>
  <si>
    <t>1128</t>
  </si>
  <si>
    <t>1125</t>
  </si>
  <si>
    <t>1123</t>
  </si>
  <si>
    <t>1121</t>
  </si>
  <si>
    <t>1120</t>
  </si>
  <si>
    <t>1119</t>
  </si>
  <si>
    <t>1118</t>
  </si>
  <si>
    <t>1117</t>
  </si>
  <si>
    <t>1115</t>
  </si>
  <si>
    <t>1114</t>
  </si>
  <si>
    <t>1113</t>
  </si>
  <si>
    <t>1112</t>
  </si>
  <si>
    <t>1109</t>
  </si>
  <si>
    <t>1108</t>
  </si>
  <si>
    <t>1106</t>
  </si>
  <si>
    <t>984</t>
  </si>
  <si>
    <t>985</t>
  </si>
  <si>
    <t>987</t>
  </si>
  <si>
    <t>989</t>
  </si>
  <si>
    <t>990</t>
  </si>
  <si>
    <t>991</t>
  </si>
  <si>
    <t>994</t>
  </si>
  <si>
    <t>995</t>
  </si>
  <si>
    <t>996</t>
  </si>
  <si>
    <t>1000</t>
  </si>
  <si>
    <t>1002</t>
  </si>
  <si>
    <t>1003</t>
  </si>
  <si>
    <t>1004</t>
  </si>
  <si>
    <t>1007</t>
  </si>
  <si>
    <t>1008</t>
  </si>
  <si>
    <t>1009</t>
  </si>
  <si>
    <t>1010</t>
  </si>
  <si>
    <t>1015</t>
  </si>
  <si>
    <t>1325</t>
  </si>
  <si>
    <t>1297</t>
  </si>
  <si>
    <t>1100</t>
  </si>
  <si>
    <t>1099</t>
  </si>
  <si>
    <t>1098</t>
  </si>
  <si>
    <t>1097</t>
  </si>
  <si>
    <t>1095</t>
  </si>
  <si>
    <t>1093</t>
  </si>
  <si>
    <t>1092</t>
  </si>
  <si>
    <t>1091</t>
  </si>
  <si>
    <t>1088</t>
  </si>
  <si>
    <t>52046280 / 52046281</t>
  </si>
  <si>
    <t>1087</t>
  </si>
  <si>
    <t>1086</t>
  </si>
  <si>
    <t>1084</t>
  </si>
  <si>
    <t>1083</t>
  </si>
  <si>
    <t>1082</t>
  </si>
  <si>
    <t>1081</t>
  </si>
  <si>
    <t>1079</t>
  </si>
  <si>
    <t>1078</t>
  </si>
  <si>
    <t>1077</t>
  </si>
  <si>
    <t>1076</t>
  </si>
  <si>
    <t>1075</t>
  </si>
  <si>
    <t>520447290 / 520447300</t>
  </si>
  <si>
    <t>1074</t>
  </si>
  <si>
    <t>1072</t>
  </si>
  <si>
    <t>1070</t>
  </si>
  <si>
    <t>1069</t>
  </si>
  <si>
    <t>518612030 / 518612040</t>
  </si>
  <si>
    <t>1068</t>
  </si>
  <si>
    <t>1065</t>
  </si>
  <si>
    <t>518369720 / 518447880</t>
  </si>
  <si>
    <t>1064</t>
  </si>
  <si>
    <t>1063</t>
  </si>
  <si>
    <t>1062</t>
  </si>
  <si>
    <t>1061</t>
  </si>
  <si>
    <t>1059</t>
  </si>
  <si>
    <t>1057</t>
  </si>
  <si>
    <t>1054</t>
  </si>
  <si>
    <t>1053</t>
  </si>
  <si>
    <t>1052</t>
  </si>
  <si>
    <t>1051</t>
  </si>
  <si>
    <t>1044</t>
  </si>
  <si>
    <t>1043</t>
  </si>
  <si>
    <t>1040</t>
  </si>
  <si>
    <t>1039</t>
  </si>
  <si>
    <t>1038</t>
  </si>
  <si>
    <t>1036</t>
  </si>
  <si>
    <t>1033</t>
  </si>
  <si>
    <t>1032</t>
  </si>
  <si>
    <t>1030</t>
  </si>
  <si>
    <t>1029</t>
  </si>
  <si>
    <t>1028</t>
  </si>
  <si>
    <t>1027</t>
  </si>
  <si>
    <t>1025</t>
  </si>
  <si>
    <t>1270</t>
  </si>
  <si>
    <t>1023</t>
  </si>
  <si>
    <t>1022</t>
  </si>
  <si>
    <t>1021</t>
  </si>
  <si>
    <t>1020</t>
  </si>
  <si>
    <t>1019</t>
  </si>
  <si>
    <t>1018</t>
  </si>
  <si>
    <t>1237</t>
  </si>
  <si>
    <t>1460</t>
  </si>
  <si>
    <t>ZF / TRW</t>
  </si>
  <si>
    <t>451631-13170</t>
  </si>
  <si>
    <t>451632-13170</t>
  </si>
  <si>
    <t>1287</t>
  </si>
  <si>
    <t>BORGWARNER</t>
  </si>
  <si>
    <t>61167 / 61168-0A060</t>
  </si>
  <si>
    <t>1286</t>
  </si>
  <si>
    <t>61615 / 61616-K1010</t>
  </si>
  <si>
    <t>620546300A</t>
  </si>
  <si>
    <t>620527300A</t>
  </si>
  <si>
    <t>616038900B / 616038500B</t>
  </si>
  <si>
    <t xml:space="preserve">26228023 / 26228037 </t>
  </si>
  <si>
    <t>63160-7LR0A / 63161-7LR0A</t>
  </si>
  <si>
    <t>64156 / 64166-BX000</t>
  </si>
  <si>
    <t>1273</t>
  </si>
  <si>
    <t>64176 / 64186-BX000</t>
  </si>
  <si>
    <t>39410-04BF0</t>
  </si>
  <si>
    <t>641C4 / 641D4-BX000</t>
  </si>
  <si>
    <t>1441</t>
  </si>
  <si>
    <t>1478</t>
  </si>
  <si>
    <t>1440</t>
  </si>
  <si>
    <t>1424</t>
  </si>
  <si>
    <t>1439</t>
  </si>
  <si>
    <t>64111-BX500</t>
  </si>
  <si>
    <t>64121-BX500</t>
  </si>
  <si>
    <t>64133-BX500</t>
  </si>
  <si>
    <t>64151-BX500</t>
  </si>
  <si>
    <t>64136-BV500</t>
  </si>
  <si>
    <t>64171-BX500 / 64181-BX500</t>
  </si>
  <si>
    <t>641C4-BX500</t>
  </si>
  <si>
    <t>641A3-BX500 / 641B3-BX500</t>
  </si>
  <si>
    <t>64117-BX500 / 64127-BX500</t>
  </si>
  <si>
    <t>641E6-BX500 / 641F6-BX500</t>
  </si>
  <si>
    <t>641C8-BX500 / 641D8-BX500</t>
  </si>
  <si>
    <t>64176-BX550 / 64186-BX550</t>
  </si>
  <si>
    <t>64164-BX550</t>
  </si>
  <si>
    <t>64161-BX550</t>
  </si>
  <si>
    <t>641E6-BX550 / 641F6-BX550</t>
  </si>
  <si>
    <t>641E3-BX550 / 641F3-BX550</t>
  </si>
  <si>
    <t>641E2-BX550 / 641F2-BX550</t>
  </si>
  <si>
    <t>64101-BX500 / 64101-BX550</t>
  </si>
  <si>
    <t>1425</t>
  </si>
  <si>
    <t>1438</t>
  </si>
  <si>
    <t>1437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</si>
  <si>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</si>
  <si>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</si>
  <si>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</si>
  <si>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</si>
  <si>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</si>
  <si>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</si>
  <si>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</si>
  <si>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</si>
  <si>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</si>
  <si>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</si>
  <si>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</si>
  <si>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GC-0042</t>
  </si>
  <si>
    <t>GC-0044</t>
  </si>
  <si>
    <t>GC-0037</t>
  </si>
  <si>
    <t>GC-0045</t>
  </si>
  <si>
    <t>GC-0043</t>
  </si>
  <si>
    <t>GC-0025</t>
  </si>
  <si>
    <t>GC-0026</t>
  </si>
  <si>
    <t>GC-0032</t>
  </si>
  <si>
    <t>GC-0034 / GC-0035</t>
  </si>
  <si>
    <t>765313300R / 765308511R</t>
  </si>
  <si>
    <t>765863595R</t>
  </si>
  <si>
    <t>767435401R</t>
  </si>
  <si>
    <t>764408134R / 764119747R</t>
  </si>
  <si>
    <t>764168399R / 764169373R</t>
  </si>
  <si>
    <t xml:space="preserve">764E23638R </t>
  </si>
  <si>
    <t>1461</t>
  </si>
  <si>
    <t>620419476R / 620405686R</t>
  </si>
  <si>
    <t>2Q6802091 / 2Q6802092</t>
  </si>
  <si>
    <t>2G5810221 / 2G5810222</t>
  </si>
  <si>
    <t>400001502100</t>
  </si>
  <si>
    <t>2G5813117 / 2G5813118</t>
  </si>
  <si>
    <t>2G5827445 / 2G5827446</t>
  </si>
  <si>
    <t>1163</t>
  </si>
  <si>
    <t>2G5805567</t>
  </si>
  <si>
    <t>1202</t>
  </si>
  <si>
    <t>51291 / 51292-47010-B</t>
  </si>
  <si>
    <t>1206</t>
  </si>
  <si>
    <t>51285-47010-A</t>
  </si>
  <si>
    <t>61673 / 61674-K1010</t>
  </si>
  <si>
    <t>67085 / 67086-0A030</t>
  </si>
  <si>
    <t>53831 / 53832-K1010</t>
  </si>
  <si>
    <t>61655 / 61656-K1010</t>
  </si>
  <si>
    <t>63128-02110</t>
  </si>
  <si>
    <t>63148-02160</t>
  </si>
  <si>
    <t>63144-02280</t>
  </si>
  <si>
    <t>63143-02270</t>
  </si>
  <si>
    <t>63133-02250</t>
  </si>
  <si>
    <t>67123-02310</t>
  </si>
  <si>
    <t>67124-02310</t>
  </si>
  <si>
    <t>58994-0D060</t>
  </si>
  <si>
    <t>58996-0D220</t>
  </si>
  <si>
    <t>61345 / 61346-02100</t>
  </si>
  <si>
    <t>67128-02090</t>
  </si>
  <si>
    <t>67127-02230</t>
  </si>
  <si>
    <t>58995-0D190</t>
  </si>
  <si>
    <t>48514-KK010 / 48515-KK010</t>
  </si>
  <si>
    <t>48628-KK010 / 48629-KK010</t>
  </si>
  <si>
    <t>12137-0Y010-A</t>
  </si>
  <si>
    <t>53211-02160 / 53212-02160</t>
  </si>
  <si>
    <t>53831-02130 / 53832-02110</t>
  </si>
  <si>
    <t>51265-02080 / 51266-02090</t>
  </si>
  <si>
    <t>51267-02080 / 51268-02070</t>
  </si>
  <si>
    <t>51261-02070 / 51262-02070</t>
  </si>
  <si>
    <t>58375-02260</t>
  </si>
  <si>
    <t>52171066 (ANT. 52138251)</t>
  </si>
  <si>
    <t>1ST-F2531-00</t>
  </si>
  <si>
    <t>1ST-F1316-00</t>
  </si>
  <si>
    <t>1ST-F412H-00</t>
  </si>
  <si>
    <t>1ST-F1381-00</t>
  </si>
  <si>
    <t>1ST-F111G-00</t>
  </si>
  <si>
    <t>1ST-F111H-00</t>
  </si>
  <si>
    <t>1ST-F4158-00</t>
  </si>
  <si>
    <t>1ST-F5371-00</t>
  </si>
  <si>
    <t>1ST-F2112-00</t>
  </si>
  <si>
    <t>1ST-F2111-00</t>
  </si>
  <si>
    <t>94763433 / 94763437</t>
  </si>
  <si>
    <t>B3G-F7412-00 (ANT. 4B4-F7412-01)</t>
  </si>
  <si>
    <t>B3G-F7422-00 (ANT. 4B4-F7422-00)</t>
  </si>
  <si>
    <t>B3G-F7321-00 (ANT. 4B4-F7321-00)</t>
  </si>
  <si>
    <t>52167761 (ANT. 52100061)</t>
  </si>
  <si>
    <t>B3G-F7211-00 (ANT. 4B4-F7211-00)</t>
  </si>
  <si>
    <t>60843 / 60943-T5A-3000</t>
  </si>
  <si>
    <t>60434-T5A-3000</t>
  </si>
  <si>
    <t>77501470 (CE-0050)</t>
  </si>
  <si>
    <t>75685870 (CE-0049)</t>
  </si>
  <si>
    <t>1462</t>
  </si>
  <si>
    <t>1463</t>
  </si>
  <si>
    <t>1465</t>
  </si>
  <si>
    <t>1466</t>
  </si>
  <si>
    <t>1467</t>
  </si>
  <si>
    <t>242399462R</t>
  </si>
  <si>
    <t>1482</t>
  </si>
  <si>
    <t>3DRX0LDHMV</t>
  </si>
  <si>
    <t>5043462 / 5043463</t>
  </si>
  <si>
    <t>DELGA</t>
  </si>
  <si>
    <t>2GP805567 / 2GP805569</t>
  </si>
  <si>
    <t>622210000B / 622210500B</t>
  </si>
  <si>
    <t>18</t>
  </si>
  <si>
    <t>437</t>
  </si>
  <si>
    <t>576</t>
  </si>
  <si>
    <t>540</t>
  </si>
  <si>
    <t>B3G-F217A-00 (ANT. 4B4-F217A-00)</t>
  </si>
  <si>
    <t>94731766 / 94731767</t>
  </si>
  <si>
    <t>52159069 / 52159070</t>
  </si>
  <si>
    <t>1B2-F7200-00</t>
  </si>
  <si>
    <t>94751509 / 94751510</t>
  </si>
  <si>
    <t>688</t>
  </si>
  <si>
    <t>689</t>
  </si>
  <si>
    <t>52167449 (ANT. 52047493)</t>
  </si>
  <si>
    <t>52167465 (ANT. 52047494)</t>
  </si>
  <si>
    <t>741</t>
  </si>
  <si>
    <t>742</t>
  </si>
  <si>
    <t>743</t>
  </si>
  <si>
    <t>748</t>
  </si>
  <si>
    <t>749</t>
  </si>
  <si>
    <t>1ST-F1384-00</t>
  </si>
  <si>
    <t>1ST-F1385-00</t>
  </si>
  <si>
    <t>756</t>
  </si>
  <si>
    <t>94738417 / 94738418 / 94738419 / 94738420</t>
  </si>
  <si>
    <t>790</t>
  </si>
  <si>
    <t>805</t>
  </si>
  <si>
    <t>94763434 (ANT. 898104632)</t>
  </si>
  <si>
    <t>850</t>
  </si>
  <si>
    <t>08B40-T5A-8000-10</t>
  </si>
  <si>
    <t>855 / 856</t>
  </si>
  <si>
    <t>52042715 / 52042716</t>
  </si>
  <si>
    <t>42825135 (ANT. 52089222 / 52102519)</t>
  </si>
  <si>
    <t>52186056 (ANT. 52079188)</t>
  </si>
  <si>
    <t>74625 / 74675-T9A-T000-H1</t>
  </si>
  <si>
    <t>39111-T9A-0000-30 / 31</t>
  </si>
  <si>
    <t>39111-T9A-0000-32</t>
  </si>
  <si>
    <t>51955423 (C2)</t>
  </si>
  <si>
    <t>60715-T7T-M000-H1</t>
  </si>
  <si>
    <t>60615-T7T-M000-H1</t>
  </si>
  <si>
    <t>60714-T7T-M000-H1</t>
  </si>
  <si>
    <t>60614-T7T-M000-H1</t>
  </si>
  <si>
    <t>37821-51N</t>
  </si>
  <si>
    <t>94763416 / 94763414</t>
  </si>
  <si>
    <t>52112988 / 52112989</t>
  </si>
  <si>
    <t>64124-T5L-P000-H1</t>
  </si>
  <si>
    <t>932</t>
  </si>
  <si>
    <t>51836623 / 51836787</t>
  </si>
  <si>
    <t>937</t>
  </si>
  <si>
    <t>18199-RNA-A000</t>
  </si>
  <si>
    <t>52117689 / 52117690</t>
  </si>
  <si>
    <t>552674360 (FA00AAK61029)</t>
  </si>
  <si>
    <t>52120739 / 52120741 / 52120742</t>
  </si>
  <si>
    <t>520261160 / 520261170 (FA00AAK58602)</t>
  </si>
  <si>
    <t>520235310 (FA00AAK68277)</t>
  </si>
  <si>
    <t>57115-TBA-A000-21</t>
  </si>
  <si>
    <t>52027307 / 52027306</t>
  </si>
  <si>
    <t>68113-TRYA-M000-H1</t>
  </si>
  <si>
    <t>68153-TRYA-M000-H1</t>
  </si>
  <si>
    <t>520412160 (FA00AAK76344)</t>
  </si>
  <si>
    <t>520235110 (FA00AAK60422)</t>
  </si>
  <si>
    <t>72646 / 72686-T5A-0000</t>
  </si>
  <si>
    <t>60641 / 60691-TRYA-M000-H1</t>
  </si>
  <si>
    <t>52004231 /52004232</t>
  </si>
  <si>
    <t>65555-TBA-A000-H1</t>
  </si>
  <si>
    <t>520171070 (FAA000AK69982)</t>
  </si>
  <si>
    <t>520043110 (FA00AAK59733)</t>
  </si>
  <si>
    <t>60435-TRYA-M000-H1</t>
  </si>
  <si>
    <t>52096966 / 52096969</t>
  </si>
  <si>
    <t>552701320 (55268190)</t>
  </si>
  <si>
    <t>55277364 (55273491)</t>
  </si>
  <si>
    <t>521981200 / 520498750</t>
  </si>
  <si>
    <t>60438 / 60488-TRYA-M000-H1</t>
  </si>
  <si>
    <t>60690-TRYA-M001</t>
  </si>
  <si>
    <t>65551-TEA-T000-H1</t>
  </si>
  <si>
    <t>52175604 (ANT. 52138245)</t>
  </si>
  <si>
    <t>52175605 (ANT. 52138249)</t>
  </si>
  <si>
    <t>60438 / 60488-TRYA-M000-50</t>
  </si>
  <si>
    <t>1031</t>
  </si>
  <si>
    <t>60630-T7J-H000-H1</t>
  </si>
  <si>
    <t>65165-T5N-M000 / 65165-T5N-M100</t>
  </si>
  <si>
    <t>60613-T5N-M000-H1</t>
  </si>
  <si>
    <t>60713-T5N-M000-H1</t>
  </si>
  <si>
    <t>64321-T5N-M000-H1</t>
  </si>
  <si>
    <t>37821-5FG-M100-21</t>
  </si>
  <si>
    <t>37816-5FG-M100/3</t>
  </si>
  <si>
    <t>37816-5FG-M100</t>
  </si>
  <si>
    <t>60932-T9L-M000-H1</t>
  </si>
  <si>
    <t>60932-T9A-M000-H1</t>
  </si>
  <si>
    <t>44517-T9A-0000 (3)</t>
  </si>
  <si>
    <t>17528-SX0-3000 (17521-TEMA-M010)</t>
  </si>
  <si>
    <t>60123 / 60173-T7A-3000</t>
  </si>
  <si>
    <t>46518374 / 46518375</t>
  </si>
  <si>
    <t>66115-T7A-3000</t>
  </si>
  <si>
    <t>1085</t>
  </si>
  <si>
    <t>60170-T7W-A010</t>
  </si>
  <si>
    <t>60120-T7W-A010</t>
  </si>
  <si>
    <t>51860626 / 51860627</t>
  </si>
  <si>
    <t>55277481 (518713950)</t>
  </si>
  <si>
    <t>66525 / 66575-TBA-A000-H1</t>
  </si>
  <si>
    <t>64312 / 64712-TEA-T000-H1</t>
  </si>
  <si>
    <t>64336 / 64736-TEA-T000-H1</t>
  </si>
  <si>
    <t>63124 / 63524-TEA-T000-H1</t>
  </si>
  <si>
    <t>52131285 / 52131286</t>
  </si>
  <si>
    <t>1116</t>
  </si>
  <si>
    <t>60827 / 60927-TEA-T000-H1</t>
  </si>
  <si>
    <t>50928367 (FA00ADB48241)</t>
  </si>
  <si>
    <t>50928369 (FA00ADB48245) / 509283660</t>
  </si>
  <si>
    <t>521381440 / 509283650 / FA00ADB48240</t>
  </si>
  <si>
    <t>52151701 / 52151702</t>
  </si>
  <si>
    <t>94714803 / 94714804</t>
  </si>
  <si>
    <t>98136398 / 94764796</t>
  </si>
  <si>
    <t>94713711 / 94713712</t>
  </si>
  <si>
    <t>1138</t>
  </si>
  <si>
    <t>26254836 / 26254837</t>
  </si>
  <si>
    <t>26227903 / 26294527</t>
  </si>
  <si>
    <t>26274521 / 26274522</t>
  </si>
  <si>
    <t>26269982 / 26269983</t>
  </si>
  <si>
    <t xml:space="preserve">52173668 / 52173669 </t>
  </si>
  <si>
    <t>3.A</t>
  </si>
  <si>
    <t>6.A</t>
  </si>
  <si>
    <t>9.A</t>
  </si>
  <si>
    <t>9.B</t>
  </si>
  <si>
    <t>10.A</t>
  </si>
  <si>
    <t>11.A</t>
  </si>
  <si>
    <t>12.A</t>
  </si>
  <si>
    <t>13.A</t>
  </si>
  <si>
    <t>14.A</t>
  </si>
  <si>
    <t>519640200 / FA00AAN75723</t>
  </si>
  <si>
    <t>552842330_1</t>
  </si>
  <si>
    <t>52076515_5A</t>
  </si>
  <si>
    <t>18.A</t>
  </si>
  <si>
    <t>16.A</t>
  </si>
  <si>
    <t>20.A</t>
  </si>
  <si>
    <t>21.A</t>
  </si>
  <si>
    <t>52076515_5C</t>
  </si>
  <si>
    <t>52076515_5D</t>
  </si>
  <si>
    <t>52076515_5B</t>
  </si>
  <si>
    <t>100.A</t>
  </si>
  <si>
    <t>101.A</t>
  </si>
  <si>
    <t>27.A</t>
  </si>
  <si>
    <t>58.A</t>
  </si>
  <si>
    <t>59.A</t>
  </si>
  <si>
    <t>533267720 / 533267730</t>
  </si>
  <si>
    <t>533258040 / 533258060</t>
  </si>
  <si>
    <t>112.A</t>
  </si>
  <si>
    <t>113.A</t>
  </si>
  <si>
    <t>114.A</t>
  </si>
  <si>
    <t>115.A</t>
  </si>
  <si>
    <t>116.A</t>
  </si>
  <si>
    <t>521627760 / 521641830</t>
  </si>
  <si>
    <t>1289</t>
  </si>
  <si>
    <t>39109-2BGS2</t>
  </si>
  <si>
    <t>77195-BW000 / 77196-BW000</t>
  </si>
  <si>
    <t>76195-BW000 / 76196-BW000</t>
  </si>
  <si>
    <t>64101-BX000 / 64101-BX500 / 64101-BX550</t>
  </si>
  <si>
    <t>1226</t>
  </si>
  <si>
    <t>52176202 / 52176203</t>
  </si>
  <si>
    <t>521936740 / 521936710</t>
  </si>
  <si>
    <t>521896350 / 522225730 / FA00ADQ23437</t>
  </si>
  <si>
    <t>52189853 / FA00ADQ26191</t>
  </si>
  <si>
    <t>65769-TFS (GC-0039)</t>
  </si>
  <si>
    <t>65768-TFS (GC-0040)</t>
  </si>
  <si>
    <t>65767-TFS (GC-0041)</t>
  </si>
  <si>
    <t>1235</t>
  </si>
  <si>
    <t>26275594 / 26318473</t>
  </si>
  <si>
    <t>26275229 / 26275230</t>
  </si>
  <si>
    <t>26275424 / 26275413</t>
  </si>
  <si>
    <t>26275829 / 26275830</t>
  </si>
  <si>
    <t>26275409 / 26275418</t>
  </si>
  <si>
    <t>26275403 / 26275387</t>
  </si>
  <si>
    <t>26411827 / 26411828</t>
  </si>
  <si>
    <t>26275417 / 26275408</t>
  </si>
  <si>
    <t>26275398 / 26275388</t>
  </si>
  <si>
    <t>26275404 / 26275395</t>
  </si>
  <si>
    <t>26275412 / 26275422</t>
  </si>
  <si>
    <t>26275425 / 26275416</t>
  </si>
  <si>
    <t>26275399 / 26275389</t>
  </si>
  <si>
    <t>26275188 / 26275190</t>
  </si>
  <si>
    <t>26295208 / 26295209</t>
  </si>
  <si>
    <t>26402678 / 26402679</t>
  </si>
  <si>
    <t>26296055 / 26227973</t>
  </si>
  <si>
    <t>1257</t>
  </si>
  <si>
    <t>65762-TFT-H000-H1</t>
  </si>
  <si>
    <t>60630-TFT-H000</t>
  </si>
  <si>
    <t>16724-62XA-M000</t>
  </si>
  <si>
    <t>8A941 / 8A946-T14A-M000</t>
  </si>
  <si>
    <t>46597-TZA-A000</t>
  </si>
  <si>
    <t>65760-TFT / 3R4 /3R5-P000-H1</t>
  </si>
  <si>
    <t>65538 / 65588-3P0A-T000-H1</t>
  </si>
  <si>
    <t>17645-3R4A-M010-21</t>
  </si>
  <si>
    <t>17645-3R4A-M010-22</t>
  </si>
  <si>
    <t>17645-3R4A-M000 / 17645-3R4A-M010-20</t>
  </si>
  <si>
    <t>1316</t>
  </si>
  <si>
    <t>60617 / 60717-3M0A-3002</t>
  </si>
  <si>
    <t>60652-T8N-Q100-H1</t>
  </si>
  <si>
    <t>60752-T8N-Q100-H1</t>
  </si>
  <si>
    <t>50290-3M6A-0000</t>
  </si>
  <si>
    <t>50295-3M6A-0000</t>
  </si>
  <si>
    <t>17265-TFT-H000-H1</t>
  </si>
  <si>
    <t>32763 / 32764-TFT-H000-H1</t>
  </si>
  <si>
    <t>60633-TFT-H000-H1</t>
  </si>
  <si>
    <t>1326</t>
  </si>
  <si>
    <t>65765-3R4A-M000-50</t>
  </si>
  <si>
    <t>8A941-3M6A-M001</t>
  </si>
  <si>
    <t>17358-3M6A-0000-21</t>
  </si>
  <si>
    <t>62141-3M0-3000</t>
  </si>
  <si>
    <t>60631-TFT-H000-H1</t>
  </si>
  <si>
    <t>PSA</t>
  </si>
  <si>
    <t>1ST-F1283-00 / 1ST-F1284-00</t>
  </si>
  <si>
    <t>2CC-F7321-01</t>
  </si>
  <si>
    <t>2CC-F7462-11</t>
  </si>
  <si>
    <t>2CC-F5867-00</t>
  </si>
  <si>
    <t>2CC-F144G-10</t>
  </si>
  <si>
    <t>52231196 (ANT. FA00ABL21153)</t>
  </si>
  <si>
    <t>463564260 (463567290)</t>
  </si>
  <si>
    <t>9852116880 / 9852117280</t>
  </si>
  <si>
    <t>9859308780 / 9859308280</t>
  </si>
  <si>
    <t>9859309280 / 9859309080</t>
  </si>
  <si>
    <t xml:space="preserve">9855553980 / 9855555080 </t>
  </si>
  <si>
    <t>9855556880 / 9855558080</t>
  </si>
  <si>
    <t xml:space="preserve">9844918580 / 9844912480 </t>
  </si>
  <si>
    <t xml:space="preserve">9844920580 / 9844914480 </t>
  </si>
  <si>
    <t xml:space="preserve">9855576480 / 9855577080 </t>
  </si>
  <si>
    <t xml:space="preserve">9845728380 / 9844911680 </t>
  </si>
  <si>
    <t>9861809480 (ANT. 9851506380)</t>
  </si>
  <si>
    <t>9855581880 (ANT.P025795224)</t>
  </si>
  <si>
    <t>9855454680 / 9855454980</t>
  </si>
  <si>
    <t>9855452680 / 9855453580</t>
  </si>
  <si>
    <t>9855455280 / 9855549380</t>
  </si>
  <si>
    <t>9859483580 / 9859483480</t>
  </si>
  <si>
    <t>1442</t>
  </si>
  <si>
    <t>1483</t>
  </si>
  <si>
    <t>1507</t>
  </si>
  <si>
    <t>B3G-F452E-00</t>
  </si>
  <si>
    <t>B3G-F454E-00</t>
  </si>
  <si>
    <t>2CC-F452E-00</t>
  </si>
  <si>
    <t>2CC-F454E-00</t>
  </si>
  <si>
    <t>2CC-E8111-10</t>
  </si>
  <si>
    <t>BUP-F8285-00</t>
  </si>
  <si>
    <t xml:space="preserve"> BUP-F8437-00</t>
  </si>
  <si>
    <t>BUP-F8427-00</t>
  </si>
  <si>
    <t>BUP-F836E-00</t>
  </si>
  <si>
    <t>BUP-F8284-00 / BUP-F836A-00</t>
  </si>
  <si>
    <t>BFW-F8283-00</t>
  </si>
  <si>
    <t>BUP-F8283-00</t>
  </si>
  <si>
    <t>BUP-F115R-00</t>
  </si>
  <si>
    <t>BUP-F137F-00</t>
  </si>
  <si>
    <t>BFW-F137F-00</t>
  </si>
  <si>
    <t>BFW-F452E-00</t>
  </si>
  <si>
    <t>BFW-F454E-00</t>
  </si>
  <si>
    <t>BUP-F1316-00</t>
  </si>
  <si>
    <t>BFW-F1316-00</t>
  </si>
  <si>
    <t>1293</t>
  </si>
  <si>
    <t>502900980 (FA00ADG43507)</t>
  </si>
  <si>
    <t>870270315000</t>
  </si>
  <si>
    <t>98104342 / 98104343 / 98104346 / 98104347</t>
  </si>
  <si>
    <t>52185030 (ANT. 98104351)</t>
  </si>
  <si>
    <t xml:space="preserve">23205381 / 23205394 </t>
  </si>
  <si>
    <t>84132509 / 84132510</t>
  </si>
  <si>
    <t xml:space="preserve">39005935 / 39005937 </t>
  </si>
  <si>
    <t>26227973 / 26227972</t>
  </si>
  <si>
    <t>100000054900</t>
  </si>
  <si>
    <t>26242861 / 26242862</t>
  </si>
  <si>
    <t>26227991 / 26227993</t>
  </si>
  <si>
    <t>GESTAMP</t>
  </si>
  <si>
    <t>52102375 / 52102376</t>
  </si>
  <si>
    <t>85523828 / 85523829 / 85523826 / 85523827</t>
  </si>
  <si>
    <t>26276044 / 26276045</t>
  </si>
  <si>
    <t>100000057300/400</t>
  </si>
  <si>
    <t>94750272 / 94750273</t>
  </si>
  <si>
    <t>100000051900</t>
  </si>
  <si>
    <t>100000053100</t>
  </si>
  <si>
    <t>HISTÓRICO DE REVISÕES/ATUALIZAÇÕES</t>
  </si>
  <si>
    <t>RESPONSÁVEL</t>
  </si>
  <si>
    <t>OBSERVAÇÕES:</t>
  </si>
  <si>
    <t>ALPHA GAGES</t>
  </si>
  <si>
    <t>DESENVOLVIMENTO</t>
  </si>
  <si>
    <t>52151798 (ANT. 52131613)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</si>
  <si>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</si>
  <si>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</si>
  <si>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</si>
  <si>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</si>
  <si>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</si>
  <si>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</si>
  <si>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</si>
  <si>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</si>
  <si>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</si>
  <si>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</si>
  <si>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</si>
  <si>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</si>
  <si>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INCLUIR</t>
  </si>
  <si>
    <t>TOTAL</t>
  </si>
  <si>
    <t>26365158 / 26365160</t>
  </si>
  <si>
    <t>52096923 / 52056388</t>
  </si>
  <si>
    <t>8A941-3M6-M100 / 8A946-3M6-M100</t>
  </si>
  <si>
    <t>QUANT.</t>
  </si>
  <si>
    <t>52155808 / 52155809</t>
  </si>
  <si>
    <t>26299583 / 26299584</t>
  </si>
  <si>
    <t>GC-0013</t>
  </si>
  <si>
    <t>GC-0014</t>
  </si>
  <si>
    <t>61544-T7J-H000 / 61544-T7A-H000</t>
  </si>
  <si>
    <t>2CC-F7412-01</t>
  </si>
  <si>
    <t>2CC-F7422-11</t>
  </si>
  <si>
    <t>634</t>
  </si>
  <si>
    <t>02042L2930 / 02042L2931</t>
  </si>
  <si>
    <t>2CC-E4243-00</t>
  </si>
  <si>
    <t>100095849R</t>
  </si>
  <si>
    <t>775793080R / 775780872R</t>
  </si>
  <si>
    <t>776721178R / 776736437R</t>
  </si>
  <si>
    <t>776736630R / 776726297R</t>
  </si>
  <si>
    <t>16736-6HG-M000</t>
  </si>
  <si>
    <t>77182-39KZ-V000</t>
  </si>
  <si>
    <t>37821-6WZZ-M000</t>
  </si>
  <si>
    <t>16730-6WZZ-M000</t>
  </si>
  <si>
    <t>16736-6WZZ-M000-20 /16736-6HZ-M000-20</t>
  </si>
  <si>
    <t>16735-6WZZ-M000 / 16735-6HG-M000</t>
  </si>
  <si>
    <t>37821-62X-M000-20</t>
  </si>
  <si>
    <t>37821-6WZZ-V000-21</t>
  </si>
  <si>
    <t>37821-6WZZ-V000-22</t>
  </si>
  <si>
    <t>37821-62X-M000-23</t>
  </si>
  <si>
    <t>37821-62X-M000-24</t>
  </si>
  <si>
    <t>37821-62K-Z000-25</t>
  </si>
  <si>
    <t>16723-6WZZ-M000-20</t>
  </si>
  <si>
    <t>16723-6HL-P000-21</t>
  </si>
  <si>
    <t>16723-6WZZ-M000-23</t>
  </si>
  <si>
    <t xml:space="preserve">16736-6HZ-M000-22 </t>
  </si>
  <si>
    <t>NOVOS</t>
  </si>
  <si>
    <t>518679220 / 518679230</t>
  </si>
  <si>
    <t>GC-0029</t>
  </si>
  <si>
    <t>GC-0028</t>
  </si>
  <si>
    <t>26327713 (ANT. 26290062)</t>
  </si>
  <si>
    <t>518447890 / 518369710</t>
  </si>
  <si>
    <t>2GX501139 / 2GX501140</t>
  </si>
  <si>
    <t>GC-0051 / GC-0052</t>
  </si>
  <si>
    <t>GC-0053 / GC-0054</t>
  </si>
  <si>
    <t>GC-0046</t>
  </si>
  <si>
    <t>TB-0015</t>
  </si>
  <si>
    <t>TB-0016</t>
  </si>
  <si>
    <t>GC-0049</t>
  </si>
  <si>
    <t>GC-0050</t>
  </si>
  <si>
    <t xml:space="preserve">743306772R / 743318158R </t>
  </si>
  <si>
    <t xml:space="preserve">743426171R </t>
  </si>
  <si>
    <t>172024737R / 172021565R</t>
  </si>
  <si>
    <t>OCIM0HPGC9_ITEM02</t>
  </si>
  <si>
    <t>INATIVAR</t>
  </si>
  <si>
    <t>8A951-39K-ZYA00 / 8A956-39K-ZYA00</t>
  </si>
  <si>
    <t>460896781R (PÇ01/PÇ02)</t>
  </si>
  <si>
    <t>460896781R (PÇ03)</t>
  </si>
  <si>
    <t>5RM-E4872-00</t>
  </si>
  <si>
    <t>467880620 / 467880630</t>
  </si>
  <si>
    <t>1494</t>
  </si>
  <si>
    <t>MJ DISPOSITIVOS</t>
  </si>
  <si>
    <t>BC5-F8437-09</t>
  </si>
  <si>
    <t>BC5-F8427-09</t>
  </si>
  <si>
    <t>769931119R / 769920421R</t>
  </si>
  <si>
    <t>CERTIFICADO 2025</t>
  </si>
  <si>
    <t>001/2025</t>
  </si>
  <si>
    <t>002/2025</t>
  </si>
  <si>
    <t>005/2025</t>
  </si>
  <si>
    <t>006/2025</t>
  </si>
  <si>
    <t>007/2025</t>
  </si>
  <si>
    <t>009/2025</t>
  </si>
  <si>
    <t>011/2025</t>
  </si>
  <si>
    <t>012/2025</t>
  </si>
  <si>
    <t>013/2025</t>
  </si>
  <si>
    <t>014/2025</t>
  </si>
  <si>
    <t>015/2025</t>
  </si>
  <si>
    <t>64171 / 64181-BX000</t>
  </si>
  <si>
    <t>016/2025</t>
  </si>
  <si>
    <t>018/2025</t>
  </si>
  <si>
    <t>020/2025</t>
  </si>
  <si>
    <t>021/2025</t>
  </si>
  <si>
    <t>022/2025</t>
  </si>
  <si>
    <t>024/2025</t>
  </si>
  <si>
    <t>026/2025</t>
  </si>
  <si>
    <t>027/2025</t>
  </si>
  <si>
    <t>028/2025</t>
  </si>
  <si>
    <t>030/2025</t>
  </si>
  <si>
    <t>031/2025</t>
  </si>
  <si>
    <t>034/2025</t>
  </si>
  <si>
    <t>035/2025</t>
  </si>
  <si>
    <t>037/2025</t>
  </si>
  <si>
    <t>038/2025</t>
  </si>
  <si>
    <t>039/2025</t>
  </si>
  <si>
    <t>040/2025</t>
  </si>
  <si>
    <t>041/2025</t>
  </si>
  <si>
    <t>042/2025</t>
  </si>
  <si>
    <t>043/2025</t>
  </si>
  <si>
    <t>044/2025</t>
  </si>
  <si>
    <t>045/2025</t>
  </si>
  <si>
    <t>046/2025</t>
  </si>
  <si>
    <t>047/2025</t>
  </si>
  <si>
    <t>048/2025</t>
  </si>
  <si>
    <t>049/2025</t>
  </si>
  <si>
    <t>050/2025</t>
  </si>
  <si>
    <t>051/2025</t>
  </si>
  <si>
    <t>052/2025</t>
  </si>
  <si>
    <t>053/2025</t>
  </si>
  <si>
    <t>055/2025</t>
  </si>
  <si>
    <t>057/2025</t>
  </si>
  <si>
    <t>059/2025</t>
  </si>
  <si>
    <t>060/2025</t>
  </si>
  <si>
    <t>061/2025</t>
  </si>
  <si>
    <t>062/2025</t>
  </si>
  <si>
    <t>063/2025</t>
  </si>
  <si>
    <t>84657782 (ANT. 52017223)</t>
  </si>
  <si>
    <t>064/2025</t>
  </si>
  <si>
    <t>065/2025</t>
  </si>
  <si>
    <t>066/2025</t>
  </si>
  <si>
    <t>067/2025</t>
  </si>
  <si>
    <t>87859011 / 87859012 (84559233 / 84559241)</t>
  </si>
  <si>
    <t>068/2025</t>
  </si>
  <si>
    <t>069/2025</t>
  </si>
  <si>
    <t>070/2025</t>
  </si>
  <si>
    <t>071/2025</t>
  </si>
  <si>
    <t>072/2025</t>
  </si>
  <si>
    <t>073/2025</t>
  </si>
  <si>
    <t>074/2025</t>
  </si>
  <si>
    <t>075/2025</t>
  </si>
  <si>
    <t>076/2025</t>
  </si>
  <si>
    <t>077/2025</t>
  </si>
  <si>
    <t>078/2025</t>
  </si>
  <si>
    <t>079/2025</t>
  </si>
  <si>
    <t>080/2025</t>
  </si>
  <si>
    <t>081/2025</t>
  </si>
  <si>
    <t>082/2025</t>
  </si>
  <si>
    <t>084/2025</t>
  </si>
  <si>
    <t>085/2025</t>
  </si>
  <si>
    <t>086/2025</t>
  </si>
  <si>
    <t>087/2025</t>
  </si>
  <si>
    <t>088/2025</t>
  </si>
  <si>
    <t>089/2025</t>
  </si>
  <si>
    <t>090/2025</t>
  </si>
  <si>
    <t>091/2025</t>
  </si>
  <si>
    <t>092/2025</t>
  </si>
  <si>
    <t>093/2025</t>
  </si>
  <si>
    <t>094/2025</t>
  </si>
  <si>
    <t>095/2025</t>
  </si>
  <si>
    <t>096/2025</t>
  </si>
  <si>
    <t>097/2025</t>
  </si>
  <si>
    <t>098/2025</t>
  </si>
  <si>
    <t>099/2025</t>
  </si>
  <si>
    <t>100/2025</t>
  </si>
  <si>
    <t>101/2025</t>
  </si>
  <si>
    <t>102/2025</t>
  </si>
  <si>
    <t>104/2025</t>
  </si>
  <si>
    <t>109/2025</t>
  </si>
  <si>
    <t>113/2025</t>
  </si>
  <si>
    <t>114/2025</t>
  </si>
  <si>
    <t>116/2025</t>
  </si>
  <si>
    <t>117/2025</t>
  </si>
  <si>
    <t>118/2025</t>
  </si>
  <si>
    <t>119/2025</t>
  </si>
  <si>
    <t>120/2025</t>
  </si>
  <si>
    <t>121/2025</t>
  </si>
  <si>
    <t>122/2025</t>
  </si>
  <si>
    <t>52169082 (ANT. 52131287) / 52131288</t>
  </si>
  <si>
    <t>123/2025</t>
  </si>
  <si>
    <t>124/2025</t>
  </si>
  <si>
    <t>125/2025</t>
  </si>
  <si>
    <t>126/2025</t>
  </si>
  <si>
    <t>127/2025</t>
  </si>
  <si>
    <t>128/2025</t>
  </si>
  <si>
    <t>129/2025</t>
  </si>
  <si>
    <t>130/2025</t>
  </si>
  <si>
    <t>131/2025</t>
  </si>
  <si>
    <t>132/2025</t>
  </si>
  <si>
    <t>133/2025</t>
  </si>
  <si>
    <t>134/2025</t>
  </si>
  <si>
    <t>135/2025</t>
  </si>
  <si>
    <t>136/2025</t>
  </si>
  <si>
    <t>137/2025</t>
  </si>
  <si>
    <t>138/2025</t>
  </si>
  <si>
    <t>140/2025</t>
  </si>
  <si>
    <t>141/2025</t>
  </si>
  <si>
    <t>142/2025</t>
  </si>
  <si>
    <t>143/2025</t>
  </si>
  <si>
    <t>144/2025</t>
  </si>
  <si>
    <t>145/2025</t>
  </si>
  <si>
    <t>146/2025</t>
  </si>
  <si>
    <t>147/2025</t>
  </si>
  <si>
    <t>5RM-F741A-00</t>
  </si>
  <si>
    <t>5RM-F741A-00 (OP.10/20)</t>
  </si>
  <si>
    <t>148/2025</t>
  </si>
  <si>
    <t>149/2025</t>
  </si>
  <si>
    <t>150/2025</t>
  </si>
  <si>
    <t>151/2025</t>
  </si>
  <si>
    <t>152/2025</t>
  </si>
  <si>
    <t>153/2025</t>
  </si>
  <si>
    <t>154/2025</t>
  </si>
  <si>
    <t>155/2025</t>
  </si>
  <si>
    <t>156/2025</t>
  </si>
  <si>
    <t>157/2025</t>
  </si>
  <si>
    <t>158/2025</t>
  </si>
  <si>
    <t>161/2025</t>
  </si>
  <si>
    <t>162/2025</t>
  </si>
  <si>
    <t>501489580 (521581530)</t>
  </si>
  <si>
    <t>163/2025</t>
  </si>
  <si>
    <t>164/2025</t>
  </si>
  <si>
    <t>165/2025</t>
  </si>
  <si>
    <t>166/2025</t>
  </si>
  <si>
    <t>169/2025</t>
  </si>
  <si>
    <t>170/2025</t>
  </si>
  <si>
    <t>171/2025</t>
  </si>
  <si>
    <t>172/2025</t>
  </si>
  <si>
    <t>173/2025</t>
  </si>
  <si>
    <t>174/2025</t>
  </si>
  <si>
    <t>175/2025</t>
  </si>
  <si>
    <t>176/2025</t>
  </si>
  <si>
    <t>177/2025</t>
  </si>
  <si>
    <t>167/2025</t>
  </si>
  <si>
    <t>168/2025</t>
  </si>
  <si>
    <t>178/2025</t>
  </si>
  <si>
    <t>179/2025</t>
  </si>
  <si>
    <t>180/2025</t>
  </si>
  <si>
    <t>181/2025</t>
  </si>
  <si>
    <t>182/2025</t>
  </si>
  <si>
    <t>183/2025</t>
  </si>
  <si>
    <t>184/2025</t>
  </si>
  <si>
    <t>185/2025</t>
  </si>
  <si>
    <t>186/2025</t>
  </si>
  <si>
    <t>187/2025</t>
  </si>
  <si>
    <t>188/2025</t>
  </si>
  <si>
    <t>189/2025</t>
  </si>
  <si>
    <t>190/2025</t>
  </si>
  <si>
    <t>501464350 / 501723110</t>
  </si>
  <si>
    <t>191/2025</t>
  </si>
  <si>
    <t>192/2025</t>
  </si>
  <si>
    <t>193/2025</t>
  </si>
  <si>
    <t>194/2025</t>
  </si>
  <si>
    <t>195/2025</t>
  </si>
  <si>
    <t>196/2025</t>
  </si>
  <si>
    <t xml:space="preserve">ÚLTIMA 
CALIBRAÇÃO </t>
  </si>
  <si>
    <t>197/2025</t>
  </si>
  <si>
    <t>198/2025</t>
  </si>
  <si>
    <t>GC-0055</t>
  </si>
  <si>
    <t>B3G-F5388-00</t>
  </si>
  <si>
    <t>52184337 / 52184340 (COMP.)</t>
  </si>
  <si>
    <t>26313835 / 26313836 (COMP.)</t>
  </si>
  <si>
    <t>51261-0A020 / 51262-0A020</t>
  </si>
  <si>
    <t>51605-0A010 / 51266-0A020</t>
  </si>
  <si>
    <t xml:space="preserve">763310813R / 763303272R </t>
  </si>
  <si>
    <t>52184337 / 52184340 (CJ.)</t>
  </si>
  <si>
    <t>26313835 / 26313836 (CJ.)</t>
  </si>
  <si>
    <t>199/2025</t>
  </si>
  <si>
    <t>200/2025</t>
  </si>
  <si>
    <t>201/2025</t>
  </si>
  <si>
    <t>202/2025</t>
  </si>
  <si>
    <t>203/2025</t>
  </si>
  <si>
    <t>204/2025</t>
  </si>
  <si>
    <t>205/2025</t>
  </si>
  <si>
    <t>206/2025</t>
  </si>
  <si>
    <t>207/2025</t>
  </si>
  <si>
    <t>208/2025</t>
  </si>
  <si>
    <t>209/2025</t>
  </si>
  <si>
    <t>210/2025</t>
  </si>
  <si>
    <t>211/2025</t>
  </si>
  <si>
    <t>212/2025</t>
  </si>
  <si>
    <t>213/2025</t>
  </si>
  <si>
    <t>214/2025</t>
  </si>
  <si>
    <t>FA00ADQ55932_001_0004 (522008950)</t>
  </si>
  <si>
    <t>FA00ADG17025 (52138145)</t>
  </si>
  <si>
    <t>215/2025</t>
  </si>
  <si>
    <t>216/2025</t>
  </si>
  <si>
    <t>217/2025</t>
  </si>
  <si>
    <t>218/2025</t>
  </si>
  <si>
    <t>219/2025</t>
  </si>
  <si>
    <t>220/2025</t>
  </si>
  <si>
    <t>221/2025</t>
  </si>
  <si>
    <t>222/2025</t>
  </si>
  <si>
    <t>223/2025</t>
  </si>
  <si>
    <t>224/2025</t>
  </si>
  <si>
    <t>225/2025</t>
  </si>
  <si>
    <t>226/2025</t>
  </si>
  <si>
    <t>227/2025</t>
  </si>
  <si>
    <t>228/2025</t>
  </si>
  <si>
    <t>229/2025</t>
  </si>
  <si>
    <t>230/2025</t>
  </si>
  <si>
    <t>231/2025</t>
  </si>
  <si>
    <t>232/2025</t>
  </si>
  <si>
    <t>235/2025</t>
  </si>
  <si>
    <t>51293-02060 / 51294-02060</t>
  </si>
  <si>
    <t>51286-02060</t>
  </si>
  <si>
    <t>51591-02080 / 51592-02080</t>
  </si>
  <si>
    <t>236/2025</t>
  </si>
  <si>
    <t>237/2025</t>
  </si>
  <si>
    <t>238/2025</t>
  </si>
  <si>
    <t>242/2025</t>
  </si>
  <si>
    <t>243/2025</t>
  </si>
  <si>
    <t>246/2025</t>
  </si>
  <si>
    <t>247/2025</t>
  </si>
  <si>
    <t>52100060 (ANT. 52035834)</t>
  </si>
  <si>
    <t>248/2025</t>
  </si>
  <si>
    <t>249/2025</t>
  </si>
  <si>
    <t>250/2025</t>
  </si>
  <si>
    <t>251/2025</t>
  </si>
  <si>
    <t>252/2025</t>
  </si>
  <si>
    <t>253/2025</t>
  </si>
  <si>
    <t>254/2025</t>
  </si>
  <si>
    <t>255/2025</t>
  </si>
  <si>
    <t>256/2025</t>
  </si>
  <si>
    <t>257/2025</t>
  </si>
  <si>
    <t>258/2025</t>
  </si>
  <si>
    <t>259/2025</t>
  </si>
  <si>
    <t>260/2025</t>
  </si>
  <si>
    <t>261/2025</t>
  </si>
  <si>
    <t>262/2025</t>
  </si>
  <si>
    <t>263/2025</t>
  </si>
  <si>
    <t>264/2025</t>
  </si>
  <si>
    <t>265/2025</t>
  </si>
  <si>
    <t>267/2025</t>
  </si>
  <si>
    <t>9862412380 / 9862412480</t>
  </si>
  <si>
    <t>9857370080 / 9857370180</t>
  </si>
  <si>
    <t>9857680880 / 9857681280</t>
  </si>
  <si>
    <t>9860137980 / 9860138080</t>
  </si>
  <si>
    <t>9849996780 / 9850086880</t>
  </si>
  <si>
    <t>46360400 (CJ.)  
46360401 (COMP.)</t>
  </si>
  <si>
    <t>2QO886193</t>
  </si>
  <si>
    <t>269/2025</t>
  </si>
  <si>
    <t>270/2025</t>
  </si>
  <si>
    <t>271/2025</t>
  </si>
  <si>
    <t>272/2025</t>
  </si>
  <si>
    <t>273/2025</t>
  </si>
  <si>
    <t>274/2025</t>
  </si>
  <si>
    <t>275/2025</t>
  </si>
  <si>
    <t>276/2025</t>
  </si>
  <si>
    <t>277/2025</t>
  </si>
  <si>
    <t>278/2025</t>
  </si>
  <si>
    <t>279/2025</t>
  </si>
  <si>
    <t>280/2025</t>
  </si>
  <si>
    <t>282/2025</t>
  </si>
  <si>
    <t>283/2025</t>
  </si>
  <si>
    <t>284/2025</t>
  </si>
  <si>
    <t>285/2025</t>
  </si>
  <si>
    <t>286/2025</t>
  </si>
  <si>
    <t>287/2025</t>
  </si>
  <si>
    <t>288/2025</t>
  </si>
  <si>
    <t>289/2025</t>
  </si>
  <si>
    <t>290/2025</t>
  </si>
  <si>
    <t>HITACHI</t>
  </si>
  <si>
    <t>52169075 (ANT. 52156367 / 52163594)</t>
  </si>
  <si>
    <t>52169078 (ANT. 52154493 / 52163593)</t>
  </si>
  <si>
    <t>520498980 / 520498990</t>
  </si>
  <si>
    <t>291/2025</t>
  </si>
  <si>
    <t>292/2025</t>
  </si>
  <si>
    <t>293/2025</t>
  </si>
  <si>
    <t>294/2025</t>
  </si>
  <si>
    <t>295/2025</t>
  </si>
  <si>
    <t>296/2025</t>
  </si>
  <si>
    <t>297/2025</t>
  </si>
  <si>
    <t>298/2025</t>
  </si>
  <si>
    <t>302/2025</t>
  </si>
  <si>
    <t>303/2025</t>
  </si>
  <si>
    <t>304/2025</t>
  </si>
  <si>
    <t>306/2025</t>
  </si>
  <si>
    <t>307/2025</t>
  </si>
  <si>
    <t>308/2025</t>
  </si>
  <si>
    <t>309/2025</t>
  </si>
  <si>
    <t>310/2025</t>
  </si>
  <si>
    <t>311/2025</t>
  </si>
  <si>
    <t>312/2025</t>
  </si>
  <si>
    <t>313/2025</t>
  </si>
  <si>
    <t>314/2025</t>
  </si>
  <si>
    <t>315/2025</t>
  </si>
  <si>
    <t>60610-3M6A-M000-H1 / 60610-T7A-3000</t>
  </si>
  <si>
    <t>60710-3M6A-M000-H1 / 60710-T7A-3000</t>
  </si>
  <si>
    <t>316/2025</t>
  </si>
  <si>
    <t>318/2025</t>
  </si>
  <si>
    <t>319/2025</t>
  </si>
  <si>
    <t>320/2025</t>
  </si>
  <si>
    <t>321/2025</t>
  </si>
  <si>
    <t>323/2025</t>
  </si>
  <si>
    <t>324/2025</t>
  </si>
  <si>
    <t>326/2025</t>
  </si>
  <si>
    <t>327/2025</t>
  </si>
  <si>
    <t>328/2025</t>
  </si>
  <si>
    <t>329/2025</t>
  </si>
  <si>
    <t>330/2025</t>
  </si>
  <si>
    <t>331/2025</t>
  </si>
  <si>
    <t>332/2025</t>
  </si>
  <si>
    <t>333/2025</t>
  </si>
  <si>
    <t>334/2025</t>
  </si>
  <si>
    <t>335/2025</t>
  </si>
  <si>
    <t>336/2025</t>
  </si>
  <si>
    <t>338/2025</t>
  </si>
  <si>
    <t>340/2025</t>
  </si>
  <si>
    <t>341/2025</t>
  </si>
  <si>
    <t>342/2025</t>
  </si>
  <si>
    <t>343/2025</t>
  </si>
  <si>
    <t>345/2025</t>
  </si>
  <si>
    <t>346/2025</t>
  </si>
  <si>
    <t>347/2025</t>
  </si>
  <si>
    <t>349/2025</t>
  </si>
  <si>
    <t>350/2025</t>
  </si>
  <si>
    <t>351/2025</t>
  </si>
  <si>
    <t>352/2025</t>
  </si>
  <si>
    <t>355/2025</t>
  </si>
  <si>
    <t>356/2025</t>
  </si>
  <si>
    <t>357/2025</t>
  </si>
  <si>
    <t>358/2025</t>
  </si>
  <si>
    <t>359/2025</t>
  </si>
  <si>
    <t>360/2025</t>
  </si>
  <si>
    <t>361/2025</t>
  </si>
  <si>
    <t>362/2025</t>
  </si>
  <si>
    <t>363/2025</t>
  </si>
  <si>
    <t>364/2025</t>
  </si>
  <si>
    <t>365/2025</t>
  </si>
  <si>
    <t>366/2025</t>
  </si>
  <si>
    <t>367/2025</t>
  </si>
  <si>
    <t>368/2025</t>
  </si>
  <si>
    <t>369/2025</t>
  </si>
  <si>
    <t>371/2025</t>
  </si>
  <si>
    <t>372/2025</t>
  </si>
  <si>
    <t>373/2025</t>
  </si>
  <si>
    <t>375/2025</t>
  </si>
  <si>
    <t>376/2025</t>
  </si>
  <si>
    <t>377/2025</t>
  </si>
  <si>
    <t>378/2025</t>
  </si>
  <si>
    <t>380/2025</t>
  </si>
  <si>
    <t>383/2025</t>
  </si>
  <si>
    <t>384/2025</t>
  </si>
  <si>
    <t>385/2025</t>
  </si>
  <si>
    <t>386/2025</t>
  </si>
  <si>
    <t>387/2025</t>
  </si>
  <si>
    <t>388/2025</t>
  </si>
  <si>
    <t>389/2025</t>
  </si>
  <si>
    <t>390/2025</t>
  </si>
  <si>
    <t>391/2025</t>
  </si>
  <si>
    <t>392/2025</t>
  </si>
  <si>
    <t>394/2025</t>
  </si>
  <si>
    <t>395/2025</t>
  </si>
  <si>
    <t>397/2025</t>
  </si>
  <si>
    <t>398/2025</t>
  </si>
  <si>
    <t>399/2025</t>
  </si>
  <si>
    <t>317/2025</t>
  </si>
  <si>
    <t>400/2025</t>
  </si>
  <si>
    <t>401/2025</t>
  </si>
  <si>
    <t>402/2025</t>
  </si>
  <si>
    <t>403/2025</t>
  </si>
  <si>
    <t>404/2025</t>
  </si>
  <si>
    <t>405/2025</t>
  </si>
  <si>
    <t>406/2025</t>
  </si>
  <si>
    <t>407/2025</t>
  </si>
  <si>
    <t>408/2025</t>
  </si>
  <si>
    <t>409/2025</t>
  </si>
  <si>
    <t>410/2025</t>
  </si>
  <si>
    <t>411/2025</t>
  </si>
  <si>
    <t>412/2025</t>
  </si>
  <si>
    <t>418/2025</t>
  </si>
  <si>
    <t>419/2025</t>
  </si>
  <si>
    <t>420/2025</t>
  </si>
  <si>
    <t>421/2025</t>
  </si>
  <si>
    <t>422/2025</t>
  </si>
  <si>
    <t>423/2025</t>
  </si>
  <si>
    <t>424/2025</t>
  </si>
  <si>
    <t>425/2025</t>
  </si>
  <si>
    <t>426/2025</t>
  </si>
  <si>
    <t>427/2025</t>
  </si>
  <si>
    <t>428/2025</t>
  </si>
  <si>
    <t>429/2025</t>
  </si>
  <si>
    <t>430/2025</t>
  </si>
  <si>
    <t>431/2025</t>
  </si>
  <si>
    <t>432/2025</t>
  </si>
  <si>
    <t>433/2025</t>
  </si>
  <si>
    <t>434/2025</t>
  </si>
  <si>
    <t>435/2025</t>
  </si>
  <si>
    <t>436/2025</t>
  </si>
  <si>
    <t>437/2025</t>
  </si>
  <si>
    <t>438/2025</t>
  </si>
  <si>
    <t>439/2025</t>
  </si>
  <si>
    <t>440/2025</t>
  </si>
  <si>
    <t>443/2025</t>
  </si>
  <si>
    <t>444/2025</t>
  </si>
  <si>
    <t>445/2025</t>
  </si>
  <si>
    <t>446/2025</t>
  </si>
  <si>
    <t>448/2025</t>
  </si>
  <si>
    <t>447/2025</t>
  </si>
  <si>
    <t>449/2025</t>
  </si>
  <si>
    <t>450/2025</t>
  </si>
  <si>
    <t>452/2025</t>
  </si>
  <si>
    <t>453/2025</t>
  </si>
  <si>
    <t>454/2025</t>
  </si>
  <si>
    <t>455/2025</t>
  </si>
  <si>
    <t>456/2025</t>
  </si>
  <si>
    <t>65761-TFT-H000/ 65761-3R4A-M000</t>
  </si>
  <si>
    <t>457/2025</t>
  </si>
  <si>
    <t>458/2025</t>
  </si>
  <si>
    <t>65763-TFT-H000</t>
  </si>
  <si>
    <t>459/2025</t>
  </si>
  <si>
    <t>460/2025</t>
  </si>
  <si>
    <t>461/2025</t>
  </si>
  <si>
    <t>462/2025</t>
  </si>
  <si>
    <t>463/2025</t>
  </si>
  <si>
    <t>464/2025</t>
  </si>
  <si>
    <t>465/2025</t>
  </si>
  <si>
    <t>466/2025</t>
  </si>
  <si>
    <t>16723-6WZZ-M000-22</t>
  </si>
  <si>
    <t>16736-6HZ-M000-21</t>
  </si>
  <si>
    <t>467/2025</t>
  </si>
  <si>
    <t>468/2025</t>
  </si>
  <si>
    <t>469/2025</t>
  </si>
  <si>
    <t>470/2025</t>
  </si>
  <si>
    <t>471/2025</t>
  </si>
  <si>
    <t>472/2025</t>
  </si>
  <si>
    <t>474/2025</t>
  </si>
  <si>
    <t>475/2025</t>
  </si>
  <si>
    <t>476/2025</t>
  </si>
  <si>
    <t>477/2025</t>
  </si>
  <si>
    <t>478/2025</t>
  </si>
  <si>
    <t>1310</t>
  </si>
  <si>
    <t>479/2025</t>
  </si>
  <si>
    <t>480/2025</t>
  </si>
  <si>
    <t>483/2025</t>
  </si>
  <si>
    <t>484/2025</t>
  </si>
  <si>
    <t>485/2025</t>
  </si>
  <si>
    <t>486/2025</t>
  </si>
  <si>
    <t>487/2025</t>
  </si>
  <si>
    <t>488/2025</t>
  </si>
  <si>
    <t>489/2025</t>
  </si>
  <si>
    <t>490/2025</t>
  </si>
  <si>
    <t>491/2025</t>
  </si>
  <si>
    <t>492/2025</t>
  </si>
  <si>
    <t>493/2025</t>
  </si>
  <si>
    <t>494/2025</t>
  </si>
  <si>
    <t>495/2025</t>
  </si>
  <si>
    <t>496/2025</t>
  </si>
  <si>
    <t>497/2025</t>
  </si>
  <si>
    <t>498/2025</t>
  </si>
  <si>
    <t>499/2025</t>
  </si>
  <si>
    <t>500/2025</t>
  </si>
  <si>
    <t>501/2025</t>
  </si>
  <si>
    <t>502/2025</t>
  </si>
  <si>
    <t>503/2025</t>
  </si>
  <si>
    <t>506/2025</t>
  </si>
  <si>
    <t>508/2025</t>
  </si>
  <si>
    <t>509/2025</t>
  </si>
  <si>
    <t>510/2025</t>
  </si>
  <si>
    <t>511/2025</t>
  </si>
  <si>
    <t>512/2025</t>
  </si>
  <si>
    <t>513/2025</t>
  </si>
  <si>
    <t>514/2025</t>
  </si>
  <si>
    <t>515/2025</t>
  </si>
  <si>
    <t>516/2025</t>
  </si>
  <si>
    <t>517/2025</t>
  </si>
  <si>
    <t>518/2025</t>
  </si>
  <si>
    <t>520/2025</t>
  </si>
  <si>
    <t>523/2025</t>
  </si>
  <si>
    <t>524/2025</t>
  </si>
  <si>
    <t>525/2025</t>
  </si>
  <si>
    <t>526/2025</t>
  </si>
  <si>
    <t>527/2025</t>
  </si>
  <si>
    <t>528/2025</t>
  </si>
  <si>
    <t>529/2025</t>
  </si>
  <si>
    <t>530/2025</t>
  </si>
  <si>
    <t>531/2025</t>
  </si>
  <si>
    <t>532/2025</t>
  </si>
  <si>
    <t>533/2025</t>
  </si>
  <si>
    <t>534/2025</t>
  </si>
  <si>
    <t>535/2025</t>
  </si>
  <si>
    <t>536/2025</t>
  </si>
  <si>
    <t>537/2025</t>
  </si>
  <si>
    <t>538/2025</t>
  </si>
  <si>
    <t>539/2025</t>
  </si>
  <si>
    <t>540/2025</t>
  </si>
  <si>
    <t>541/2025</t>
  </si>
  <si>
    <t>543/2025</t>
  </si>
  <si>
    <t>542/2025</t>
  </si>
  <si>
    <t>545/2025</t>
  </si>
  <si>
    <t>OBSERVAÇÕES</t>
  </si>
  <si>
    <t>DISP. ACOLHEDOR</t>
  </si>
  <si>
    <t>DISP. DO CARE</t>
  </si>
  <si>
    <t>DISP. DO RECEBIMENTO</t>
  </si>
  <si>
    <t>DISP. DE CONTROLE</t>
  </si>
  <si>
    <t>548/2025</t>
  </si>
  <si>
    <t>550/2025</t>
  </si>
  <si>
    <t>551/2025</t>
  </si>
  <si>
    <t>552/2025</t>
  </si>
  <si>
    <t>553/2025</t>
  </si>
  <si>
    <t>554/2025</t>
  </si>
  <si>
    <t>555/2025</t>
  </si>
  <si>
    <t>556/2025</t>
  </si>
  <si>
    <t>557/2025</t>
  </si>
  <si>
    <t>558/2025</t>
  </si>
  <si>
    <t>559/2025</t>
  </si>
  <si>
    <t>560/2025</t>
  </si>
  <si>
    <t>561/2025</t>
  </si>
  <si>
    <t>562/2025</t>
  </si>
  <si>
    <t>563/2025</t>
  </si>
  <si>
    <t>564/2025</t>
  </si>
  <si>
    <t>565/2025</t>
  </si>
  <si>
    <t>566/2025</t>
  </si>
  <si>
    <t>567/2025</t>
  </si>
  <si>
    <t>568/2025</t>
  </si>
  <si>
    <t>569/2025</t>
  </si>
  <si>
    <t>570/2025</t>
  </si>
  <si>
    <t>571/2025</t>
  </si>
  <si>
    <t>572/2025</t>
  </si>
  <si>
    <t>574/2025</t>
  </si>
  <si>
    <t>575/2025</t>
  </si>
  <si>
    <t>576/2025</t>
  </si>
  <si>
    <t>577/2025</t>
  </si>
  <si>
    <t>578/2025</t>
  </si>
  <si>
    <t>579/2025</t>
  </si>
  <si>
    <t>580/2025</t>
  </si>
  <si>
    <t>581/2025</t>
  </si>
  <si>
    <t>582/2025</t>
  </si>
  <si>
    <t>583/2025</t>
  </si>
  <si>
    <t>584/2025</t>
  </si>
  <si>
    <t>585/2025</t>
  </si>
  <si>
    <t>586/2025</t>
  </si>
  <si>
    <t>587/2025</t>
  </si>
  <si>
    <t>588/2025</t>
  </si>
  <si>
    <t>589/2025</t>
  </si>
  <si>
    <t>590/2025</t>
  </si>
  <si>
    <t>9845812180 / 9845811980 
(ANT. 9855696280 / 9855696580)</t>
  </si>
  <si>
    <t>591/2025</t>
  </si>
  <si>
    <t>592/2025</t>
  </si>
  <si>
    <t>522719790 / 522719780</t>
  </si>
  <si>
    <t xml:space="preserve">522719770 (CJ.) / 522719770-ITEM01 </t>
  </si>
  <si>
    <t xml:space="preserve">522719770-ITEM02 </t>
  </si>
  <si>
    <t>522719770-ITEM03</t>
  </si>
  <si>
    <t>593/2025</t>
  </si>
  <si>
    <t>594/2025</t>
  </si>
  <si>
    <t>595/2025</t>
  </si>
  <si>
    <t>596/2025</t>
  </si>
  <si>
    <t>598/2025</t>
  </si>
  <si>
    <t>599/2025</t>
  </si>
  <si>
    <t>600/2025</t>
  </si>
  <si>
    <t>601/2025</t>
  </si>
  <si>
    <t>602/2025</t>
  </si>
  <si>
    <t>603/2025</t>
  </si>
  <si>
    <t>604/2025</t>
  </si>
  <si>
    <t>605/2025</t>
  </si>
  <si>
    <t>607/2025</t>
  </si>
  <si>
    <t>608/2025</t>
  </si>
  <si>
    <t>609/2025</t>
  </si>
  <si>
    <t>610/2025</t>
  </si>
  <si>
    <t>613/2025</t>
  </si>
  <si>
    <t>614/2025</t>
  </si>
  <si>
    <t>615/2025</t>
  </si>
  <si>
    <t>616/2025</t>
  </si>
  <si>
    <t>617/2025</t>
  </si>
  <si>
    <t>618/2025</t>
  </si>
  <si>
    <t>619/2025</t>
  </si>
  <si>
    <t>623/2025</t>
  </si>
  <si>
    <t>624/2025</t>
  </si>
  <si>
    <t>625/2025</t>
  </si>
  <si>
    <t>626/2025</t>
  </si>
  <si>
    <t>627/2025</t>
  </si>
  <si>
    <t>628/2025</t>
  </si>
  <si>
    <t>629/2025</t>
  </si>
  <si>
    <t>630/2025</t>
  </si>
  <si>
    <t>631/2025</t>
  </si>
  <si>
    <t>632/2025</t>
  </si>
  <si>
    <t>633/2025</t>
  </si>
  <si>
    <t>636/2025</t>
  </si>
  <si>
    <t>637/2025</t>
  </si>
  <si>
    <t>638/2025</t>
  </si>
  <si>
    <t>640/2025</t>
  </si>
  <si>
    <t>641/2025</t>
  </si>
  <si>
    <t>642/2025</t>
  </si>
  <si>
    <t>643/2025</t>
  </si>
  <si>
    <t>644/2025</t>
  </si>
  <si>
    <t>645/2025</t>
  </si>
  <si>
    <t>9857881580 / 9857882580</t>
  </si>
  <si>
    <t>646/2025</t>
  </si>
  <si>
    <t>647/2025</t>
  </si>
  <si>
    <t>649/2025</t>
  </si>
  <si>
    <t>653/2025</t>
  </si>
  <si>
    <t>654/2025</t>
  </si>
  <si>
    <t>655/2025</t>
  </si>
  <si>
    <t>656/2025</t>
  </si>
  <si>
    <t>657/2025</t>
  </si>
  <si>
    <t>658/2025</t>
  </si>
  <si>
    <t>659/2025</t>
  </si>
  <si>
    <t>660/2025</t>
  </si>
  <si>
    <t>661/2025</t>
  </si>
  <si>
    <t>664/2025</t>
  </si>
  <si>
    <t>665/2025</t>
  </si>
  <si>
    <t>666/2025</t>
  </si>
  <si>
    <t>667/2025</t>
  </si>
  <si>
    <t>668/2025</t>
  </si>
  <si>
    <t>669/2025</t>
  </si>
  <si>
    <t>670/2025</t>
  </si>
  <si>
    <t>671/2025</t>
  </si>
  <si>
    <t>672/2025</t>
  </si>
  <si>
    <t>673/2025</t>
  </si>
  <si>
    <t>674/2025</t>
  </si>
  <si>
    <t>675/2025</t>
  </si>
  <si>
    <t>676/2025</t>
  </si>
  <si>
    <t>677/2025</t>
  </si>
  <si>
    <t>678/2025</t>
  </si>
  <si>
    <t>679/2025</t>
  </si>
  <si>
    <t>680/2025</t>
  </si>
  <si>
    <t>681/2025</t>
  </si>
  <si>
    <t>682/2025</t>
  </si>
  <si>
    <t>683/2025</t>
  </si>
  <si>
    <t>685/2025</t>
  </si>
  <si>
    <t>687/2025</t>
  </si>
  <si>
    <t>688/2025</t>
  </si>
  <si>
    <t>689/2025</t>
  </si>
  <si>
    <t>690/2025</t>
  </si>
  <si>
    <t>691/2025</t>
  </si>
  <si>
    <t>692/2025</t>
  </si>
  <si>
    <t>693/2025</t>
  </si>
  <si>
    <t>694/2025</t>
  </si>
  <si>
    <t>695/2025</t>
  </si>
  <si>
    <t>696/2025</t>
  </si>
  <si>
    <t>697/2025</t>
  </si>
  <si>
    <t>CONTROLE DE CALIBRAÇÃO DE DISPOSITIVOS DE CONTROLE - 2026</t>
  </si>
  <si>
    <t>CONTROLE DE CALIBRAÇÃO MENSAL - 2026</t>
  </si>
  <si>
    <t>Criação da planilha de cronograma de calibração de dispositivos para o ano de 2026</t>
  </si>
  <si>
    <t>CERTIFICADO 2026</t>
  </si>
  <si>
    <t>001/2026</t>
  </si>
  <si>
    <t>002/2026</t>
  </si>
  <si>
    <t>003/2026</t>
  </si>
  <si>
    <t>004/2026</t>
  </si>
  <si>
    <t>005/2026</t>
  </si>
  <si>
    <t>006/2026</t>
  </si>
  <si>
    <t>007/2026</t>
  </si>
  <si>
    <t>008/2026</t>
  </si>
  <si>
    <t>009/2026</t>
  </si>
  <si>
    <t>010/2026</t>
  </si>
  <si>
    <t>011/2026</t>
  </si>
  <si>
    <t>012/2026</t>
  </si>
  <si>
    <t>013/2026</t>
  </si>
  <si>
    <t>014/2026</t>
  </si>
  <si>
    <t>015/2026</t>
  </si>
  <si>
    <t>016/2026</t>
  </si>
  <si>
    <t>017/2026</t>
  </si>
  <si>
    <t>018/2026</t>
  </si>
  <si>
    <t>019/2026</t>
  </si>
  <si>
    <t>020/2026</t>
  </si>
  <si>
    <t>021/2026</t>
  </si>
  <si>
    <t>022/2026</t>
  </si>
  <si>
    <t>023/2026</t>
  </si>
  <si>
    <t>024/2026</t>
  </si>
  <si>
    <t>025/2026</t>
  </si>
  <si>
    <t>026/2026</t>
  </si>
  <si>
    <t>027/2026</t>
  </si>
  <si>
    <t>028/2026</t>
  </si>
  <si>
    <t>029/2026</t>
  </si>
  <si>
    <t>030/2026</t>
  </si>
  <si>
    <t>031/2026</t>
  </si>
  <si>
    <t>032/2026</t>
  </si>
  <si>
    <t>033/2026</t>
  </si>
  <si>
    <t>034/2026</t>
  </si>
  <si>
    <t>035/2026</t>
  </si>
  <si>
    <t>036/2026</t>
  </si>
  <si>
    <t>037/2026</t>
  </si>
  <si>
    <t>038/2026</t>
  </si>
  <si>
    <t>039/2026</t>
  </si>
  <si>
    <t>040/2026</t>
  </si>
  <si>
    <t>041/2026</t>
  </si>
  <si>
    <t>042/2026</t>
  </si>
  <si>
    <t>043/2026</t>
  </si>
  <si>
    <t>044/2026</t>
  </si>
  <si>
    <t>045/2026</t>
  </si>
  <si>
    <t>046/2026</t>
  </si>
  <si>
    <t>047/2026</t>
  </si>
  <si>
    <t>048/2026</t>
  </si>
  <si>
    <t>049/2026</t>
  </si>
  <si>
    <t>050/2026</t>
  </si>
  <si>
    <t>051/2026</t>
  </si>
  <si>
    <t>052/2026</t>
  </si>
  <si>
    <t>69100-BP000</t>
  </si>
  <si>
    <t>67131-BP000</t>
  </si>
  <si>
    <t>77191-BP000 / 77192-BP000</t>
  </si>
  <si>
    <t>67172-BN000</t>
  </si>
  <si>
    <t>67162-BN000</t>
  </si>
  <si>
    <t>67121-BP000</t>
  </si>
  <si>
    <t>71238-BN000 / 71248-BN000</t>
  </si>
  <si>
    <t>28791-BP100</t>
  </si>
  <si>
    <t>28795-BP100</t>
  </si>
  <si>
    <t>82717-BP000 / 82727-BP000</t>
  </si>
  <si>
    <t>72850-BN000 / 72860-BN000</t>
  </si>
  <si>
    <t>77251-BP000 / 77261-BP000</t>
  </si>
  <si>
    <t xml:space="preserve">72830-BN000 / 72840-BN000 </t>
  </si>
  <si>
    <t>77271-BP000 / 77281-BP000</t>
  </si>
  <si>
    <t>76271-BP000 / 76281-BP000</t>
  </si>
  <si>
    <t>76195-BP000</t>
  </si>
  <si>
    <t>76196-BP000</t>
  </si>
  <si>
    <t>77195-BP000</t>
  </si>
  <si>
    <t>77196-BP000</t>
  </si>
  <si>
    <t>84291-BN000</t>
  </si>
  <si>
    <t>31210-BP000</t>
  </si>
  <si>
    <t>31211-BP000</t>
  </si>
  <si>
    <t>64150-BP000</t>
  </si>
  <si>
    <t>64160-BP000</t>
  </si>
  <si>
    <t xml:space="preserve">69112-BP000 </t>
  </si>
  <si>
    <t>69138-BP000 / 69148-BP000</t>
  </si>
  <si>
    <t>69156-BP000 / 69166-BP000</t>
  </si>
  <si>
    <t>69159-BP000 / 69169-BP000</t>
  </si>
  <si>
    <t>69114-BN000</t>
  </si>
  <si>
    <t>69158-BN000 / 69158-BN000</t>
  </si>
  <si>
    <t>69122-BP000</t>
  </si>
  <si>
    <t>67134-BP000</t>
  </si>
  <si>
    <t>67138-BP000 / 67148-BP000</t>
  </si>
  <si>
    <t>65181-BP000 / 65182-BP000</t>
  </si>
  <si>
    <t>65171-BP000 / 65172-BP000</t>
  </si>
  <si>
    <t>77193-BP000 / 77194-BP000</t>
  </si>
  <si>
    <t>77178-BP000 / 77179-BP000</t>
  </si>
  <si>
    <t>77197-BP000 / 77198-BP000</t>
  </si>
  <si>
    <t>67141-BN000 / 67142-BN000</t>
  </si>
  <si>
    <t xml:space="preserve">66930-BN000 / 66940-BN000 </t>
  </si>
  <si>
    <t>79732-G6000</t>
  </si>
  <si>
    <t>64151-BP000</t>
  </si>
  <si>
    <t>64153-BN000</t>
  </si>
  <si>
    <t>641Z5-BP000</t>
  </si>
  <si>
    <t>641C3-BP000 / 641D4-BP400</t>
  </si>
  <si>
    <t>64162-BP000</t>
  </si>
  <si>
    <t xml:space="preserve">64163-BP000 / 64164-BP000 </t>
  </si>
  <si>
    <t>64173-BP000 / 64183-BP000</t>
  </si>
  <si>
    <t>053/2026</t>
  </si>
  <si>
    <t>054/2026</t>
  </si>
  <si>
    <t>055/2026</t>
  </si>
  <si>
    <t>056/2026</t>
  </si>
  <si>
    <t>057/2026</t>
  </si>
  <si>
    <t>058/2026</t>
  </si>
  <si>
    <t>059/2026</t>
  </si>
  <si>
    <t>060/2026</t>
  </si>
  <si>
    <t>061/2026</t>
  </si>
  <si>
    <t>062/2026</t>
  </si>
  <si>
    <t>063/2026</t>
  </si>
  <si>
    <t>064/2026</t>
  </si>
  <si>
    <t>065/2026</t>
  </si>
  <si>
    <t>066/2026</t>
  </si>
  <si>
    <t>067/2026</t>
  </si>
  <si>
    <t>068/2026</t>
  </si>
  <si>
    <t>Calibração dispositivos janeiro/2026</t>
  </si>
  <si>
    <t>069/2026</t>
  </si>
  <si>
    <t>070/2026</t>
  </si>
  <si>
    <t>071/2026</t>
  </si>
  <si>
    <t>072/2026</t>
  </si>
  <si>
    <t>073/2026</t>
  </si>
  <si>
    <t>074/2026</t>
  </si>
  <si>
    <t>075/2026</t>
  </si>
  <si>
    <t>076/2026</t>
  </si>
  <si>
    <t>077/2026</t>
  </si>
  <si>
    <t>078/2026</t>
  </si>
  <si>
    <t>079/2026</t>
  </si>
  <si>
    <t>080/2026</t>
  </si>
  <si>
    <t>081/2026</t>
  </si>
  <si>
    <t>082/2026</t>
  </si>
  <si>
    <t>083/2026</t>
  </si>
  <si>
    <t>084/2026</t>
  </si>
  <si>
    <t>085/2026</t>
  </si>
  <si>
    <t>086/2026</t>
  </si>
  <si>
    <t>087/2026</t>
  </si>
  <si>
    <t>088/2026</t>
  </si>
  <si>
    <t>089/2026</t>
  </si>
  <si>
    <t>090/2026</t>
  </si>
  <si>
    <t>091/2026</t>
  </si>
  <si>
    <t>092/2026</t>
  </si>
  <si>
    <t>093/2026</t>
  </si>
  <si>
    <t>094/2026</t>
  </si>
  <si>
    <t>095/2026</t>
  </si>
  <si>
    <t>096/2026</t>
  </si>
  <si>
    <t>097/2026</t>
  </si>
  <si>
    <t>098/2026</t>
  </si>
  <si>
    <t>099/2026</t>
  </si>
  <si>
    <t>100/2026</t>
  </si>
  <si>
    <t>101/2026</t>
  </si>
  <si>
    <t>102/2026</t>
  </si>
  <si>
    <t>103/2026</t>
  </si>
  <si>
    <t>104/2026</t>
  </si>
  <si>
    <t>71198-2W000</t>
  </si>
  <si>
    <t xml:space="preserve">51267-0A030 / 51268-0A030 </t>
  </si>
  <si>
    <t>GALUC</t>
  </si>
  <si>
    <t>105/2026</t>
  </si>
  <si>
    <t>106/2026</t>
  </si>
  <si>
    <t>107/2026</t>
  </si>
  <si>
    <t>108/2026</t>
  </si>
  <si>
    <t>109/2026</t>
  </si>
  <si>
    <t>110/2026</t>
  </si>
  <si>
    <t>111/2026</t>
  </si>
  <si>
    <t>112/2026</t>
  </si>
  <si>
    <t>Calibração dispositivos fevereiro/2026</t>
  </si>
  <si>
    <t>113/2026</t>
  </si>
  <si>
    <t>114/2026</t>
  </si>
  <si>
    <t>115/2026</t>
  </si>
  <si>
    <t>116/2026</t>
  </si>
  <si>
    <t>117/2026</t>
  </si>
  <si>
    <t>118/2026</t>
  </si>
  <si>
    <t>119/2026</t>
  </si>
  <si>
    <t>120/2026</t>
  </si>
  <si>
    <t>121/2026</t>
  </si>
  <si>
    <t>122/2026</t>
  </si>
  <si>
    <t>123/2026</t>
  </si>
  <si>
    <t>124/2026</t>
  </si>
  <si>
    <t>125/2026</t>
  </si>
  <si>
    <t>126/2026</t>
  </si>
  <si>
    <t>127/2026</t>
  </si>
  <si>
    <t>128/2026</t>
  </si>
  <si>
    <t>129/2026</t>
  </si>
  <si>
    <t>130/2026</t>
  </si>
  <si>
    <t>131/2026</t>
  </si>
  <si>
    <t>132/2026</t>
  </si>
  <si>
    <t>133/2026</t>
  </si>
  <si>
    <t>134/2026</t>
  </si>
  <si>
    <t>135/2026</t>
  </si>
  <si>
    <t>136/2026</t>
  </si>
  <si>
    <t>137/2026</t>
  </si>
  <si>
    <t>138/2026</t>
  </si>
  <si>
    <t>139/2026</t>
  </si>
  <si>
    <t>140/2026</t>
  </si>
  <si>
    <t>141/2026</t>
  </si>
  <si>
    <t>142/2026</t>
  </si>
  <si>
    <t>143/2026</t>
  </si>
  <si>
    <t>MG</t>
  </si>
  <si>
    <t>TRIDMINAS</t>
  </si>
  <si>
    <t>RILS</t>
  </si>
  <si>
    <t>144/2026</t>
  </si>
  <si>
    <t>145/2026</t>
  </si>
  <si>
    <t>146/2026</t>
  </si>
  <si>
    <t>147/2026</t>
  </si>
  <si>
    <t>148/2026</t>
  </si>
  <si>
    <t>149/2026</t>
  </si>
  <si>
    <t>150/2026</t>
  </si>
  <si>
    <t>151/2026</t>
  </si>
  <si>
    <t>152/2026</t>
  </si>
  <si>
    <t>153/2026</t>
  </si>
  <si>
    <t>154/2026</t>
  </si>
  <si>
    <t>155/2026</t>
  </si>
  <si>
    <t>156/2026</t>
  </si>
  <si>
    <t>157/2026</t>
  </si>
  <si>
    <t>158/2026</t>
  </si>
  <si>
    <t>739</t>
  </si>
  <si>
    <t>1ST-F1380-00</t>
  </si>
  <si>
    <t>740</t>
  </si>
  <si>
    <t>1ST-F1390-00</t>
  </si>
  <si>
    <t>698/2025</t>
  </si>
  <si>
    <t>699/2025</t>
  </si>
  <si>
    <t>159/2026</t>
  </si>
  <si>
    <t>160/2026</t>
  </si>
  <si>
    <t>161/2026</t>
  </si>
  <si>
    <t>162/2026</t>
  </si>
  <si>
    <t>163/2026</t>
  </si>
  <si>
    <t>164/2026</t>
  </si>
  <si>
    <t>165/2026</t>
  </si>
  <si>
    <t>166/2026</t>
  </si>
  <si>
    <t>167/2026</t>
  </si>
  <si>
    <t>168/2026</t>
  </si>
  <si>
    <t>169/2026</t>
  </si>
  <si>
    <t>170/2026</t>
  </si>
  <si>
    <t>171/2026</t>
  </si>
  <si>
    <t>172/2026</t>
  </si>
  <si>
    <t>173/2026</t>
  </si>
  <si>
    <t>Calibração dispositivos março/2026</t>
  </si>
  <si>
    <t>174/2026</t>
  </si>
  <si>
    <t>175/2026</t>
  </si>
  <si>
    <t>176/2026</t>
  </si>
  <si>
    <t>177/2026</t>
  </si>
  <si>
    <t>178/2026</t>
  </si>
  <si>
    <t>179/2026</t>
  </si>
  <si>
    <t>180/2026</t>
  </si>
  <si>
    <t>181/2026</t>
  </si>
  <si>
    <t>182/2026</t>
  </si>
  <si>
    <t>183/2026</t>
  </si>
  <si>
    <t>184/2026</t>
  </si>
  <si>
    <t>185/2026</t>
  </si>
  <si>
    <t>186/2026</t>
  </si>
  <si>
    <t>187/2026</t>
  </si>
  <si>
    <t>188/2026</t>
  </si>
  <si>
    <t>189/2026</t>
  </si>
  <si>
    <t>190/2026</t>
  </si>
  <si>
    <t>191/2026</t>
  </si>
  <si>
    <t>192/2026</t>
  </si>
  <si>
    <t>193/2026</t>
  </si>
  <si>
    <t>194/2026</t>
  </si>
  <si>
    <t>195/2026</t>
  </si>
  <si>
    <t>196/2026</t>
  </si>
  <si>
    <t>197/2026</t>
  </si>
  <si>
    <t>Calibração dispositivos abril/2026</t>
  </si>
  <si>
    <t>198/2026</t>
  </si>
  <si>
    <t>199/2026</t>
  </si>
  <si>
    <t>200/2026</t>
  </si>
  <si>
    <t>201/2026</t>
  </si>
  <si>
    <t>202/2026</t>
  </si>
  <si>
    <t>203/2026</t>
  </si>
  <si>
    <t>204/2026</t>
  </si>
  <si>
    <t>205/2026</t>
  </si>
  <si>
    <t>206/2026</t>
  </si>
  <si>
    <t>207/2026</t>
  </si>
  <si>
    <t>208/2026</t>
  </si>
  <si>
    <t>209/2026</t>
  </si>
  <si>
    <t>PTS METROLOGIA</t>
  </si>
  <si>
    <t>210/2026</t>
  </si>
  <si>
    <t>211/2026</t>
  </si>
  <si>
    <t>212/2026</t>
  </si>
  <si>
    <t>213/2026</t>
  </si>
  <si>
    <t>214/2026</t>
  </si>
  <si>
    <t>215/2026</t>
  </si>
  <si>
    <t>216/2026</t>
  </si>
  <si>
    <t>217/2026</t>
  </si>
  <si>
    <t>218/2026</t>
  </si>
  <si>
    <t>219/2026</t>
  </si>
  <si>
    <t>220/2026</t>
  </si>
  <si>
    <t>221/2026</t>
  </si>
  <si>
    <t>222/2026</t>
  </si>
  <si>
    <t>223/2026</t>
  </si>
  <si>
    <t>224/2026</t>
  </si>
  <si>
    <t>225/2026</t>
  </si>
  <si>
    <t>226/2026</t>
  </si>
  <si>
    <t>227/2026</t>
  </si>
  <si>
    <t>228/2026</t>
  </si>
  <si>
    <t>229/2026</t>
  </si>
  <si>
    <t>230/2026</t>
  </si>
  <si>
    <t>231/2026</t>
  </si>
  <si>
    <t>232/2026</t>
  </si>
  <si>
    <t>233/2026</t>
  </si>
  <si>
    <t>234/2026</t>
  </si>
  <si>
    <t>235/2026</t>
  </si>
  <si>
    <t>236/2026</t>
  </si>
  <si>
    <t>237/2026</t>
  </si>
  <si>
    <t>238/2026</t>
  </si>
  <si>
    <t>239/2026</t>
  </si>
  <si>
    <t>240/2026</t>
  </si>
  <si>
    <t>241/2026</t>
  </si>
  <si>
    <t>FA00ACC91657 / 501746800</t>
  </si>
  <si>
    <t>9870679980 (1)</t>
  </si>
  <si>
    <t>9870679980 (2)</t>
  </si>
  <si>
    <t>9870679980 (3)</t>
  </si>
  <si>
    <t>9827551780 / 9827551880</t>
  </si>
  <si>
    <t>52162415 (52269475 PC1)</t>
  </si>
  <si>
    <t>51983467 (52269475 PC2)</t>
  </si>
  <si>
    <t>51983468 (52269475 PC2)</t>
  </si>
  <si>
    <t>242/2026</t>
  </si>
  <si>
    <t>243/2026</t>
  </si>
  <si>
    <t>244/2026</t>
  </si>
  <si>
    <t>245/2026</t>
  </si>
  <si>
    <t>246/2026</t>
  </si>
  <si>
    <t>247/2026</t>
  </si>
  <si>
    <t>248/2026</t>
  </si>
  <si>
    <t>249/2026</t>
  </si>
  <si>
    <t>250/2026</t>
  </si>
  <si>
    <t>251/2026</t>
  </si>
  <si>
    <t>252/2026</t>
  </si>
  <si>
    <t>253/2026</t>
  </si>
  <si>
    <t>254/2026</t>
  </si>
  <si>
    <t>255/2026</t>
  </si>
  <si>
    <t>256/2026</t>
  </si>
  <si>
    <t>257/2026</t>
  </si>
  <si>
    <t>258/2026</t>
  </si>
  <si>
    <t>259/2026</t>
  </si>
  <si>
    <t>260/2026</t>
  </si>
  <si>
    <t>261/2026</t>
  </si>
  <si>
    <t>262/2026</t>
  </si>
  <si>
    <t>263/2026</t>
  </si>
  <si>
    <t>264/2026</t>
  </si>
  <si>
    <t>72871-BP000</t>
  </si>
  <si>
    <t>265/2026</t>
  </si>
  <si>
    <t>266/2026</t>
  </si>
  <si>
    <t>267/2026</t>
  </si>
  <si>
    <t>268/2026</t>
  </si>
  <si>
    <t>269/2026</t>
  </si>
  <si>
    <t>270/2026</t>
  </si>
  <si>
    <t>271/2026</t>
  </si>
  <si>
    <t>Calibração dispositivos maio/2026</t>
  </si>
  <si>
    <t>272/2026</t>
  </si>
  <si>
    <t>273/2026</t>
  </si>
  <si>
    <t>274/2026</t>
  </si>
  <si>
    <t>275/2026</t>
  </si>
  <si>
    <t>276/2026</t>
  </si>
  <si>
    <t>277/2026</t>
  </si>
  <si>
    <t>278/2026</t>
  </si>
  <si>
    <t>279/2026</t>
  </si>
  <si>
    <t>280/2026</t>
  </si>
  <si>
    <t>281/2026</t>
  </si>
  <si>
    <t>282/2026</t>
  </si>
  <si>
    <t>283/2026</t>
  </si>
  <si>
    <t>284/2026</t>
  </si>
  <si>
    <t>285/2026</t>
  </si>
  <si>
    <t>286/2026</t>
  </si>
  <si>
    <t>287/2026</t>
  </si>
  <si>
    <t>288/2026</t>
  </si>
  <si>
    <t>289/2026</t>
  </si>
  <si>
    <t>290/2026</t>
  </si>
  <si>
    <t>291/2026</t>
  </si>
  <si>
    <t>292/2026</t>
  </si>
  <si>
    <t>293/2026</t>
  </si>
  <si>
    <t>294/2026</t>
  </si>
  <si>
    <t>295/2026</t>
  </si>
  <si>
    <t>296/2026</t>
  </si>
  <si>
    <t>297/2026</t>
  </si>
  <si>
    <t>298/2026</t>
  </si>
  <si>
    <t>299/2026</t>
  </si>
  <si>
    <t>300/2026</t>
  </si>
  <si>
    <t>301/2026</t>
  </si>
  <si>
    <t>302/2026</t>
  </si>
  <si>
    <t>303/2026</t>
  </si>
  <si>
    <t>304/2026</t>
  </si>
  <si>
    <t>305/2026</t>
  </si>
  <si>
    <t>306/2026</t>
  </si>
  <si>
    <t>307/2026</t>
  </si>
  <si>
    <t>308/2026</t>
  </si>
  <si>
    <t>309/2026</t>
  </si>
  <si>
    <t>310/2026</t>
  </si>
  <si>
    <t>311/2026</t>
  </si>
  <si>
    <t>312/2026</t>
  </si>
  <si>
    <t>313/2026</t>
  </si>
  <si>
    <t>314/2026</t>
  </si>
  <si>
    <t>315/2026</t>
  </si>
  <si>
    <t>316/2026</t>
  </si>
  <si>
    <t>317/2026</t>
  </si>
  <si>
    <t>318/2026</t>
  </si>
  <si>
    <t>319/2026</t>
  </si>
  <si>
    <t>320/2026</t>
  </si>
  <si>
    <t>321/2026</t>
  </si>
  <si>
    <t>322/2026</t>
  </si>
  <si>
    <t>323/2026</t>
  </si>
  <si>
    <t>728A0-BP000 / 728B0-BP000</t>
  </si>
  <si>
    <t>324/2026</t>
  </si>
  <si>
    <t>72880-BP000</t>
  </si>
  <si>
    <t>325/2026</t>
  </si>
  <si>
    <t>326/2026</t>
  </si>
  <si>
    <t>327/2026</t>
  </si>
  <si>
    <t>Calibração dispositivos junho/2026</t>
  </si>
  <si>
    <t>328/2026</t>
  </si>
  <si>
    <t>329/2026</t>
  </si>
  <si>
    <t>330/2026</t>
  </si>
  <si>
    <t>331/2026</t>
  </si>
  <si>
    <t>332/2026</t>
  </si>
  <si>
    <t>333/2026</t>
  </si>
  <si>
    <t>334/2026</t>
  </si>
  <si>
    <t>335/2026</t>
  </si>
  <si>
    <t>336/2026</t>
  </si>
  <si>
    <t>337/2026</t>
  </si>
  <si>
    <t>OK</t>
  </si>
  <si>
    <t>NÃO OK</t>
  </si>
  <si>
    <t>ETIQUETAS 
2026</t>
  </si>
  <si>
    <t>Ult. Prod. 10/2021</t>
  </si>
  <si>
    <t>Em produção</t>
  </si>
  <si>
    <t>Ult. Prod. 12/2022</t>
  </si>
  <si>
    <t>Em Produção</t>
  </si>
  <si>
    <t>Ult. Prod. 08/2019</t>
  </si>
  <si>
    <t>338/2026</t>
  </si>
  <si>
    <t>339/2026</t>
  </si>
  <si>
    <t>340/2026</t>
  </si>
  <si>
    <t>341/2026</t>
  </si>
  <si>
    <t>342/2026</t>
  </si>
  <si>
    <t>343/2026</t>
  </si>
  <si>
    <t>344/2026</t>
  </si>
  <si>
    <t>345/2026</t>
  </si>
  <si>
    <t>346/2026</t>
  </si>
  <si>
    <t>Ult. Prod. 10/2023</t>
  </si>
  <si>
    <t>Ult. Prod. 07/2017</t>
  </si>
  <si>
    <t>347/2026</t>
  </si>
  <si>
    <t>Ult. Prod. 05/2018</t>
  </si>
  <si>
    <t>348/2026</t>
  </si>
  <si>
    <t>Ult. Prod. 09/2021</t>
  </si>
  <si>
    <t>349/2026</t>
  </si>
  <si>
    <t>350/2026</t>
  </si>
  <si>
    <t>351/2026</t>
  </si>
  <si>
    <t>352/2026</t>
  </si>
  <si>
    <t>353/2026</t>
  </si>
  <si>
    <t>354/2026</t>
  </si>
  <si>
    <t>355/2026</t>
  </si>
  <si>
    <t>Ult. Produção 04/21</t>
  </si>
  <si>
    <t>Ult. Produção 01/17</t>
  </si>
  <si>
    <t>Ult. Produção 12/21</t>
  </si>
  <si>
    <t>Ult. Produção 11/20</t>
  </si>
  <si>
    <t>Ult. Prod. 02/2022</t>
  </si>
  <si>
    <t>Ult. Prod. 11/2021</t>
  </si>
  <si>
    <t>Ult. Prod. 04/2022</t>
  </si>
  <si>
    <t>356/2026</t>
  </si>
  <si>
    <t>357/2026</t>
  </si>
  <si>
    <t>358/2026</t>
  </si>
  <si>
    <t>359/2026</t>
  </si>
  <si>
    <t>360/2026</t>
  </si>
  <si>
    <t>361/2026</t>
  </si>
  <si>
    <t>Ult. Prod. 10/2016</t>
  </si>
  <si>
    <t>362/2026</t>
  </si>
  <si>
    <t>Ult. Prod. 06/2018</t>
  </si>
  <si>
    <t>363/2026</t>
  </si>
  <si>
    <t>364/2026</t>
  </si>
  <si>
    <t>365/2026</t>
  </si>
  <si>
    <t>366/2026</t>
  </si>
  <si>
    <t>367/2026</t>
  </si>
  <si>
    <t>368/2026</t>
  </si>
  <si>
    <t>Ult. Prod. 02/2019</t>
  </si>
  <si>
    <t>369/2026</t>
  </si>
  <si>
    <t>370/2026</t>
  </si>
  <si>
    <t>371/2026</t>
  </si>
  <si>
    <t>372/2026</t>
  </si>
  <si>
    <t>373/2026</t>
  </si>
  <si>
    <t>69139-BP000</t>
  </si>
  <si>
    <t>66432-BP000</t>
  </si>
  <si>
    <t>66442-BP000</t>
  </si>
  <si>
    <t>72831-BP000 / 72841-BP000</t>
  </si>
  <si>
    <t>374/2026</t>
  </si>
  <si>
    <t>375/2026</t>
  </si>
  <si>
    <t>376/2026</t>
  </si>
  <si>
    <t>9860967580 / 9860968180</t>
  </si>
  <si>
    <t>9855715080 / 9866081980</t>
  </si>
  <si>
    <t>9866277080 / 9866277180</t>
  </si>
  <si>
    <t>9853474780 / 9853475080</t>
  </si>
  <si>
    <t>9837435480 / 9863885480</t>
  </si>
  <si>
    <t>9868419880 / 9868460980</t>
  </si>
  <si>
    <t>9855885780 P2 
(CJ. 9855885780)</t>
  </si>
  <si>
    <t>9855885780 LE / LD                 
(CJ. 9855885780)</t>
  </si>
  <si>
    <t>9811750780 (CJ. 9830226380)</t>
  </si>
  <si>
    <t>112746422R / 237142228R</t>
  </si>
  <si>
    <t>752D48642R / 752D54292R</t>
  </si>
  <si>
    <t>752225913R</t>
  </si>
  <si>
    <t>673324595R</t>
  </si>
  <si>
    <t>GC-0056</t>
  </si>
  <si>
    <t>GC-0057</t>
  </si>
  <si>
    <t>GC-0058</t>
  </si>
  <si>
    <t>GC-0059</t>
  </si>
  <si>
    <t>9826885880 (CJ. 9830226380)</t>
  </si>
  <si>
    <t>9822805980 / 9822806080</t>
  </si>
  <si>
    <t xml:space="preserve">9833431380 / 9833431480 </t>
  </si>
  <si>
    <t>CJ. 764118538R / 764107289R 
COMP. 764137159R / 764124623R</t>
  </si>
  <si>
    <t>764971164R / 764964337R</t>
  </si>
  <si>
    <t xml:space="preserve">241384309R </t>
  </si>
  <si>
    <t xml:space="preserve">764E39216R </t>
  </si>
  <si>
    <t>764E27482R</t>
  </si>
  <si>
    <t>764E28025R</t>
  </si>
  <si>
    <t>Calibração dispositivos julho/2026</t>
  </si>
  <si>
    <t>377/2026</t>
  </si>
  <si>
    <t>378/2026</t>
  </si>
  <si>
    <t>379/2026</t>
  </si>
  <si>
    <t>380/2026</t>
  </si>
  <si>
    <t>381/2026</t>
  </si>
  <si>
    <t>382/2026</t>
  </si>
  <si>
    <t>383/2026</t>
  </si>
  <si>
    <t>384/2026</t>
  </si>
  <si>
    <t>385/2026</t>
  </si>
  <si>
    <t>386/2026</t>
  </si>
  <si>
    <t>387/2026</t>
  </si>
  <si>
    <t>388/2026</t>
  </si>
  <si>
    <t>389/2026</t>
  </si>
  <si>
    <t>390/2026</t>
  </si>
  <si>
    <t>391/2026</t>
  </si>
  <si>
    <t>392/2026</t>
  </si>
  <si>
    <t>393/2026</t>
  </si>
  <si>
    <t>394/2026</t>
  </si>
  <si>
    <t>395/2026</t>
  </si>
  <si>
    <t>396/2026</t>
  </si>
  <si>
    <t>397/2026</t>
  </si>
  <si>
    <t>398/2026</t>
  </si>
  <si>
    <t>399/2026</t>
  </si>
  <si>
    <t>400/2026</t>
  </si>
  <si>
    <t>26235646 / 26235647</t>
  </si>
  <si>
    <t>401/2026</t>
  </si>
  <si>
    <t>402/2026</t>
  </si>
  <si>
    <t>Ult. Prod. 12/2023</t>
  </si>
  <si>
    <t>403/2026</t>
  </si>
  <si>
    <t>Ult. Prod. 07/2023</t>
  </si>
  <si>
    <t>404/2026</t>
  </si>
  <si>
    <t>405/2026</t>
  </si>
  <si>
    <t>406/2026</t>
  </si>
  <si>
    <t>407/2026</t>
  </si>
  <si>
    <t>408/2026</t>
  </si>
  <si>
    <t>409/2026</t>
  </si>
  <si>
    <t>410/2026</t>
  </si>
  <si>
    <t>411/2026</t>
  </si>
  <si>
    <t>412/2026</t>
  </si>
  <si>
    <t>413/2026</t>
  </si>
  <si>
    <t>414/2026</t>
  </si>
  <si>
    <t>552842330_3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</si>
</sst>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F400]h:mm:ss\ AM/PM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Eurostile Extended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34700"/>
        <bgColor indexed="64"/>
      </patternFill>
    </fill>
    <fill>
      <patternFill patternType="solid">
        <fgColor rgb="FFEB2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47B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6CB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7DF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0" fillId="4" borderId="0" xfId="0" applyFill="1"/>
    <xf numFmtId="0" fontId="11" fillId="4" borderId="0" xfId="0" applyFont="1" applyFill="1"/>
    <xf numFmtId="0" fontId="9" fillId="4" borderId="0" xfId="0" applyFont="1" applyFill="1" applyAlignment="1">
      <alignment vertical="center"/>
    </xf>
    <xf numFmtId="0" fontId="1" fillId="27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2" applyNumberFormat="1" applyFont="1" applyFill="1" applyBorder="1" applyAlignment="1">
      <alignment horizontal="center" vertical="center"/>
    </xf>
    <xf numFmtId="9" fontId="13" fillId="4" borderId="0" xfId="2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5" fontId="0" fillId="4" borderId="0" xfId="0" applyNumberFormat="1" applyFill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21" borderId="1" xfId="0" applyNumberFormat="1" applyFill="1" applyBorder="1" applyAlignment="1">
      <alignment horizontal="center" vertical="center"/>
    </xf>
    <xf numFmtId="0" fontId="7" fillId="21" borderId="1" xfId="1" applyFill="1" applyBorder="1" applyAlignment="1">
      <alignment horizontal="center" vertical="center"/>
    </xf>
    <xf numFmtId="0" fontId="7" fillId="8" borderId="1" xfId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7" fillId="4" borderId="1" xfId="1" quotePrefix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7" fillId="4" borderId="1" xfId="1" applyNumberFormat="1" applyFill="1" applyBorder="1" applyAlignment="1">
      <alignment horizontal="center" vertical="center"/>
    </xf>
    <xf numFmtId="11" fontId="5" fillId="4" borderId="1" xfId="0" applyNumberFormat="1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/>
    </xf>
    <xf numFmtId="0" fontId="7" fillId="29" borderId="1" xfId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1" applyFill="1" applyBorder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5" fillId="4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29" borderId="1" xfId="1" applyFont="1" applyFill="1" applyBorder="1" applyAlignment="1">
      <alignment horizontal="center" vertical="center"/>
    </xf>
    <xf numFmtId="0" fontId="6" fillId="21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6" fillId="33" borderId="1" xfId="1" applyFon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7" borderId="3" xfId="0" applyFont="1" applyFill="1" applyBorder="1" applyAlignment="1">
      <alignment horizontal="right" vertical="center"/>
    </xf>
    <xf numFmtId="0" fontId="9" fillId="7" borderId="5" xfId="0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0" fontId="0" fillId="4" borderId="2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27" borderId="2" xfId="0" applyFont="1" applyFill="1" applyBorder="1" applyAlignment="1">
      <alignment horizontal="center" vertical="center"/>
    </xf>
    <xf numFmtId="0" fontId="1" fillId="27" borderId="6" xfId="0" applyFont="1" applyFill="1" applyBorder="1" applyAlignment="1">
      <alignment horizontal="center" vertical="center"/>
    </xf>
    <xf numFmtId="0" fontId="1" fillId="27" borderId="7" xfId="0" applyFont="1" applyFill="1" applyBorder="1" applyAlignment="1">
      <alignment horizontal="center" vertical="center"/>
    </xf>
  </cellXfs>
  <cellStyles count="3">
    <cellStyle name="Hiperlink" xfId="1" builtinId="8"/>
    <cellStyle name="Normal" xfId="0" builtinId="0"/>
    <cellStyle name="Porcentagem" xfId="2" builtinId="5"/>
  </cellStyles>
  <dxfs count="222"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E67DFF"/>
      <color rgb="FFFF8181"/>
      <color rgb="FFFAAD00"/>
      <color rgb="FFEB2500"/>
      <color rgb="FFCC00FF"/>
      <color rgb="FFF0F0F0"/>
      <color rgb="FF0070C0"/>
      <color rgb="FF0033CC"/>
      <color rgb="FFFFCC66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228600</xdr:rowOff>
    </xdr:from>
    <xdr:to>
      <xdr:col>0</xdr:col>
      <xdr:colOff>1193400</xdr:colOff>
      <xdr:row>0</xdr:row>
      <xdr:rowOff>492021</xdr:rowOff>
    </xdr:to>
    <xdr:pic>
      <xdr:nvPicPr>
        <xdr:cNvPr id="4" name="Imagem" descr="Imagem">
          <a:extLst>
            <a:ext uri="{FF2B5EF4-FFF2-40B4-BE49-F238E27FC236}">
              <a16:creationId xmlns:a16="http://schemas.microsoft.com/office/drawing/2014/main" xmlns="" id="{A5D8743D-4B91-4498-A7AE-49DF50081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-1868" r="79858"/>
        <a:stretch/>
      </xdr:blipFill>
      <xdr:spPr>
        <a:xfrm>
          <a:off x="295275" y="228600"/>
          <a:ext cx="898125" cy="263421"/>
        </a:xfrm>
        <a:prstGeom prst="rect">
          <a:avLst/>
        </a:prstGeom>
        <a:ln w="12700">
          <a:miter lim="400000"/>
        </a:ln>
        <a:effectLst/>
      </xdr:spPr>
    </xdr:pic>
    <xdr:clientData/>
  </xdr:twoCellAnchor>
  <xdr:twoCellAnchor>
    <xdr:from>
      <xdr:col>13</xdr:col>
      <xdr:colOff>28575</xdr:colOff>
      <xdr:row>0</xdr:row>
      <xdr:rowOff>38100</xdr:rowOff>
    </xdr:from>
    <xdr:to>
      <xdr:col>18</xdr:col>
      <xdr:colOff>114300</xdr:colOff>
      <xdr:row>0</xdr:row>
      <xdr:rowOff>295275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xmlns="" id="{80C02C1D-B7E4-4D6A-B51A-111F085D2099}"/>
            </a:ext>
          </a:extLst>
        </xdr:cNvPr>
        <xdr:cNvSpPr txBox="1"/>
      </xdr:nvSpPr>
      <xdr:spPr>
        <a:xfrm>
          <a:off x="17268825" y="38100"/>
          <a:ext cx="3181350" cy="257175"/>
        </a:xfrm>
        <a:prstGeom prst="rect">
          <a:avLst/>
        </a:prstGeom>
        <a:solidFill>
          <a:srgbClr val="034700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0">
              <a:solidFill>
                <a:schemeClr val="bg1"/>
              </a:solidFill>
              <a:latin typeface="Eurostile Extended" pitchFamily="2" charset="0"/>
            </a:rPr>
            <a:t>IEB-RQ-583-REV-01</a:t>
          </a:r>
        </a:p>
      </xdr:txBody>
    </xdr:sp>
    <xdr:clientData/>
  </xdr:twoCellAnchor>
  <xdr:twoCellAnchor>
    <xdr:from>
      <xdr:col>13</xdr:col>
      <xdr:colOff>28577</xdr:colOff>
      <xdr:row>0</xdr:row>
      <xdr:rowOff>381000</xdr:rowOff>
    </xdr:from>
    <xdr:to>
      <xdr:col>18</xdr:col>
      <xdr:colOff>114300</xdr:colOff>
      <xdr:row>0</xdr:row>
      <xdr:rowOff>602353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xmlns="" id="{E952F6D4-4706-4C89-AD1C-FC6368CADDF4}"/>
            </a:ext>
          </a:extLst>
        </xdr:cNvPr>
        <xdr:cNvSpPr txBox="1"/>
      </xdr:nvSpPr>
      <xdr:spPr>
        <a:xfrm>
          <a:off x="17268827" y="381000"/>
          <a:ext cx="3181348" cy="22135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ELABORADO</a:t>
          </a:r>
          <a:r>
            <a:rPr lang="pt-BR" sz="1100" b="0">
              <a:latin typeface="+mj-lt"/>
            </a:rPr>
            <a:t>: Felipe</a:t>
          </a:r>
          <a:r>
            <a:rPr lang="pt-BR" sz="1100" b="0" baseline="0">
              <a:latin typeface="+mj-lt"/>
            </a:rPr>
            <a:t> Perez - Metrologia / Qualidade</a:t>
          </a:r>
          <a:endParaRPr lang="pt-BR" sz="1100" b="0">
            <a:latin typeface="+mj-lt"/>
          </a:endParaRPr>
        </a:p>
      </xdr:txBody>
    </xdr:sp>
    <xdr:clientData/>
  </xdr:twoCellAnchor>
  <xdr:twoCellAnchor>
    <xdr:from>
      <xdr:col>13</xdr:col>
      <xdr:colOff>28577</xdr:colOff>
      <xdr:row>1</xdr:row>
      <xdr:rowOff>0</xdr:rowOff>
    </xdr:from>
    <xdr:to>
      <xdr:col>18</xdr:col>
      <xdr:colOff>114300</xdr:colOff>
      <xdr:row>1</xdr:row>
      <xdr:rowOff>221353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xmlns="" id="{EFAD2650-7395-45E1-BA80-2C897664F7B4}"/>
            </a:ext>
          </a:extLst>
        </xdr:cNvPr>
        <xdr:cNvSpPr txBox="1"/>
      </xdr:nvSpPr>
      <xdr:spPr>
        <a:xfrm>
          <a:off x="17268827" y="685800"/>
          <a:ext cx="3181348" cy="22135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VERIFICADO</a:t>
          </a:r>
          <a:r>
            <a:rPr lang="pt-BR" sz="1100" b="0">
              <a:latin typeface="+mj-lt"/>
            </a:rPr>
            <a:t>: José Joia - </a:t>
          </a:r>
          <a:r>
            <a:rPr lang="pt-BR" sz="1100" b="0" baseline="0">
              <a:latin typeface="+mj-lt"/>
            </a:rPr>
            <a:t>Qualidade</a:t>
          </a:r>
          <a:endParaRPr lang="pt-BR" sz="1100" b="0">
            <a:latin typeface="+mj-lt"/>
          </a:endParaRPr>
        </a:p>
      </xdr:txBody>
    </xdr:sp>
    <xdr:clientData/>
  </xdr:twoCellAnchor>
  <xdr:twoCellAnchor>
    <xdr:from>
      <xdr:col>13</xdr:col>
      <xdr:colOff>28577</xdr:colOff>
      <xdr:row>1</xdr:row>
      <xdr:rowOff>304800</xdr:rowOff>
    </xdr:from>
    <xdr:to>
      <xdr:col>18</xdr:col>
      <xdr:colOff>114300</xdr:colOff>
      <xdr:row>1</xdr:row>
      <xdr:rowOff>526153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xmlns="" id="{9088AB01-E90F-4EF3-9CFF-8CF561E1DCD8}"/>
            </a:ext>
          </a:extLst>
        </xdr:cNvPr>
        <xdr:cNvSpPr txBox="1"/>
      </xdr:nvSpPr>
      <xdr:spPr>
        <a:xfrm>
          <a:off x="17268827" y="990600"/>
          <a:ext cx="3181348" cy="22135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APROVADO</a:t>
          </a:r>
          <a:r>
            <a:rPr lang="pt-BR" sz="1100" b="0">
              <a:latin typeface="+mj-lt"/>
            </a:rPr>
            <a:t>: Paulo Martins - </a:t>
          </a:r>
          <a:r>
            <a:rPr lang="pt-BR" sz="1100" b="0" baseline="0">
              <a:latin typeface="+mj-lt"/>
            </a:rPr>
            <a:t>Qualidade</a:t>
          </a:r>
          <a:endParaRPr lang="pt-BR" sz="1100" b="0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161925</xdr:rowOff>
    </xdr:from>
    <xdr:to>
      <xdr:col>1</xdr:col>
      <xdr:colOff>1126725</xdr:colOff>
      <xdr:row>1</xdr:row>
      <xdr:rowOff>425346</xdr:rowOff>
    </xdr:to>
    <xdr:pic>
      <xdr:nvPicPr>
        <xdr:cNvPr id="2" name="Imagem" descr="Imagem">
          <a:extLst>
            <a:ext uri="{FF2B5EF4-FFF2-40B4-BE49-F238E27FC236}">
              <a16:creationId xmlns:a16="http://schemas.microsoft.com/office/drawing/2014/main" xmlns="" id="{170D350E-D803-41F7-9C76-BD4DA7E87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-1868" r="79858"/>
        <a:stretch/>
      </xdr:blipFill>
      <xdr:spPr>
        <a:xfrm>
          <a:off x="1457325" y="352425"/>
          <a:ext cx="898125" cy="263421"/>
        </a:xfrm>
        <a:prstGeom prst="rect">
          <a:avLst/>
        </a:prstGeom>
        <a:ln w="12700"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</xdr:row>
      <xdr:rowOff>161925</xdr:rowOff>
    </xdr:from>
    <xdr:to>
      <xdr:col>1</xdr:col>
      <xdr:colOff>1317225</xdr:colOff>
      <xdr:row>1</xdr:row>
      <xdr:rowOff>425346</xdr:rowOff>
    </xdr:to>
    <xdr:pic>
      <xdr:nvPicPr>
        <xdr:cNvPr id="2" name="Imagem" descr="Imagem">
          <a:extLst>
            <a:ext uri="{FF2B5EF4-FFF2-40B4-BE49-F238E27FC236}">
              <a16:creationId xmlns:a16="http://schemas.microsoft.com/office/drawing/2014/main" xmlns="" id="{0B47E28A-5F42-4A2C-A81E-4643FA36A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-1868" r="79858"/>
        <a:stretch/>
      </xdr:blipFill>
      <xdr:spPr>
        <a:xfrm>
          <a:off x="600075" y="352425"/>
          <a:ext cx="898125" cy="263421"/>
        </a:xfrm>
        <a:prstGeom prst="rect">
          <a:avLst/>
        </a:prstGeom>
        <a:ln w="12700">
          <a:miter lim="400000"/>
        </a:ln>
        <a:effectLst/>
      </xdr:spPr>
    </xdr:pic>
    <xdr:clientData/>
  </xdr:twoCellAnchor>
  <xdr:twoCellAnchor>
    <xdr:from>
      <xdr:col>9</xdr:col>
      <xdr:colOff>190500</xdr:colOff>
      <xdr:row>1</xdr:row>
      <xdr:rowOff>0</xdr:rowOff>
    </xdr:from>
    <xdr:to>
      <xdr:col>11</xdr:col>
      <xdr:colOff>670086</xdr:colOff>
      <xdr:row>1</xdr:row>
      <xdr:rowOff>273526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xmlns="" id="{1A67B57B-B46F-4E28-ADF3-8C9717572A42}"/>
            </a:ext>
          </a:extLst>
        </xdr:cNvPr>
        <xdr:cNvSpPr txBox="1"/>
      </xdr:nvSpPr>
      <xdr:spPr>
        <a:xfrm>
          <a:off x="11753850" y="190500"/>
          <a:ext cx="3089436" cy="273526"/>
        </a:xfrm>
        <a:prstGeom prst="rect">
          <a:avLst/>
        </a:prstGeom>
        <a:solidFill>
          <a:srgbClr val="034700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0">
              <a:solidFill>
                <a:schemeClr val="bg1"/>
              </a:solidFill>
              <a:latin typeface="Eurostile Extended" pitchFamily="2" charset="0"/>
            </a:rPr>
            <a:t>IEB-RQ-583-REV-01</a:t>
          </a:r>
        </a:p>
      </xdr:txBody>
    </xdr:sp>
    <xdr:clientData/>
  </xdr:twoCellAnchor>
  <xdr:twoCellAnchor>
    <xdr:from>
      <xdr:col>9</xdr:col>
      <xdr:colOff>190502</xdr:colOff>
      <xdr:row>1</xdr:row>
      <xdr:rowOff>342900</xdr:rowOff>
    </xdr:from>
    <xdr:to>
      <xdr:col>11</xdr:col>
      <xdr:colOff>670086</xdr:colOff>
      <xdr:row>2</xdr:row>
      <xdr:rowOff>6826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xmlns="" id="{3CFC176C-62EF-4925-82D0-65743B525E4E}"/>
            </a:ext>
          </a:extLst>
        </xdr:cNvPr>
        <xdr:cNvSpPr txBox="1"/>
      </xdr:nvSpPr>
      <xdr:spPr>
        <a:xfrm>
          <a:off x="11753852" y="533400"/>
          <a:ext cx="3089434" cy="23542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ELABORADO</a:t>
          </a:r>
          <a:r>
            <a:rPr lang="pt-BR" sz="1100" b="0">
              <a:latin typeface="+mj-lt"/>
            </a:rPr>
            <a:t>: Felipe</a:t>
          </a:r>
          <a:r>
            <a:rPr lang="pt-BR" sz="1100" b="0" baseline="0">
              <a:latin typeface="+mj-lt"/>
            </a:rPr>
            <a:t> Perez - Metrologia / Qualidade</a:t>
          </a:r>
          <a:endParaRPr lang="pt-BR" sz="1100" b="0">
            <a:latin typeface="+mj-lt"/>
          </a:endParaRPr>
        </a:p>
      </xdr:txBody>
    </xdr:sp>
    <xdr:clientData/>
  </xdr:twoCellAnchor>
  <xdr:twoCellAnchor>
    <xdr:from>
      <xdr:col>9</xdr:col>
      <xdr:colOff>190502</xdr:colOff>
      <xdr:row>2</xdr:row>
      <xdr:rowOff>76200</xdr:rowOff>
    </xdr:from>
    <xdr:to>
      <xdr:col>11</xdr:col>
      <xdr:colOff>670086</xdr:colOff>
      <xdr:row>3</xdr:row>
      <xdr:rowOff>63976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xmlns="" id="{13CB24A2-0684-4CA3-8624-2FEE14A00CFE}"/>
            </a:ext>
          </a:extLst>
        </xdr:cNvPr>
        <xdr:cNvSpPr txBox="1"/>
      </xdr:nvSpPr>
      <xdr:spPr>
        <a:xfrm>
          <a:off x="11753852" y="838200"/>
          <a:ext cx="3089434" cy="23542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VERIFICADO</a:t>
          </a:r>
          <a:r>
            <a:rPr lang="pt-BR" sz="1100" b="0">
              <a:latin typeface="+mj-lt"/>
            </a:rPr>
            <a:t>: Thomas Jefferson - </a:t>
          </a:r>
          <a:r>
            <a:rPr lang="pt-BR" sz="1100" b="0" baseline="0">
              <a:latin typeface="+mj-lt"/>
            </a:rPr>
            <a:t>Qualidade</a:t>
          </a:r>
          <a:endParaRPr lang="pt-BR" sz="1100" b="0">
            <a:latin typeface="+mj-lt"/>
          </a:endParaRPr>
        </a:p>
      </xdr:txBody>
    </xdr:sp>
    <xdr:clientData/>
  </xdr:twoCellAnchor>
  <xdr:twoCellAnchor>
    <xdr:from>
      <xdr:col>9</xdr:col>
      <xdr:colOff>190502</xdr:colOff>
      <xdr:row>3</xdr:row>
      <xdr:rowOff>133350</xdr:rowOff>
    </xdr:from>
    <xdr:to>
      <xdr:col>11</xdr:col>
      <xdr:colOff>670086</xdr:colOff>
      <xdr:row>4</xdr:row>
      <xdr:rowOff>178276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xmlns="" id="{C79F8D22-3EF9-4F2C-8D61-A54473E571D5}"/>
            </a:ext>
          </a:extLst>
        </xdr:cNvPr>
        <xdr:cNvSpPr txBox="1"/>
      </xdr:nvSpPr>
      <xdr:spPr>
        <a:xfrm>
          <a:off x="11753852" y="1143000"/>
          <a:ext cx="3089434" cy="23542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pt-BR" sz="1100" b="0" u="sng">
              <a:latin typeface="+mj-lt"/>
            </a:rPr>
            <a:t>APROVADO</a:t>
          </a:r>
          <a:r>
            <a:rPr lang="pt-BR" sz="1100" b="0">
              <a:latin typeface="+mj-lt"/>
            </a:rPr>
            <a:t>: Wallace</a:t>
          </a:r>
          <a:r>
            <a:rPr lang="pt-BR" sz="1100" b="0" baseline="0">
              <a:latin typeface="+mj-lt"/>
            </a:rPr>
            <a:t> Costa </a:t>
          </a:r>
          <a:r>
            <a:rPr lang="pt-BR" sz="1100" b="0">
              <a:latin typeface="+mj-lt"/>
            </a:rPr>
            <a:t>- </a:t>
          </a:r>
          <a:r>
            <a:rPr lang="pt-BR" sz="1100" b="0" baseline="0">
              <a:latin typeface="+mj-lt"/>
            </a:rPr>
            <a:t>Qualidade</a:t>
          </a:r>
          <a:endParaRPr lang="pt-BR" sz="1100" b="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1-2025%20(DC-1044).xlsx" TargetMode="External"/><Relationship Id="rId1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2-2025%20(DC-1494).xlsx" TargetMode="External"/><Relationship Id="rId2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7-2025%20(DC-1274).xlsx" TargetMode="External"/><Relationship Id="rId4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5-2025%20(DC-926).xlsx" TargetMode="External"/><Relationship Id="rId68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1-2026%20(DC-1249).pdf" TargetMode="External"/><Relationship Id="rId1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4-2025%20(DC-1137).xlsx" TargetMode="External"/><Relationship Id="rId3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8-2025%20(DC-964).xlsx" TargetMode="External"/><Relationship Id="rId5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5-2025%20(DC-1233).xlsx" TargetMode="External"/><Relationship Id="rId98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7-2026%20(DC-1059).pdf" TargetMode="External"/><Relationship Id="rId4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4-2025%20(DC-1130).xlsx" TargetMode="External"/><Relationship Id="rId84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52_64150-BP000_HYUNDAI" TargetMode="External"/><Relationship Id="rId103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2-2026%20(DC-1550).pdf" TargetMode="External"/><Relationship Id="rId70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6-2026%20(DC-746).pdf" TargetMode="External"/><Relationship Id="rId91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6-2026%20(DC-811).pdf" TargetMode="External"/><Relationship Id="rId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9-2025%20(DC-705).xlsx" TargetMode="External"/><Relationship Id="rId1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4-2025%20(DC-1545).xlsx" TargetMode="External"/><Relationship Id="rId4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9-2025%20(DC-860).xlsx" TargetMode="External"/><Relationship Id="rId3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11-2025%20(DC-916).xlsx" TargetMode="External"/><Relationship Id="rId2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6-2025%20(DC-1009).xlsx" TargetMode="External"/><Relationship Id="rId5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3-2025%20(DC-24.A).xlsx" TargetMode="External"/><Relationship Id="rId77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61_69100-BP000%20(ACOLHEDOR)_HYUNDAI" TargetMode="External"/><Relationship Id="rId86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0_79733-G6000_HYUNDAI" TargetMode="External"/><Relationship Id="rId4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7-2025%20(DC-979).xlsx" TargetMode="External"/><Relationship Id="rId63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8-2026%20(DC-1044).pdf" TargetMode="External"/><Relationship Id="rId72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6-2026%20(DC-751).pdf" TargetMode="External"/><Relationship Id="rId105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4-2026%20(DC-1602).pdf" TargetMode="External"/><Relationship Id="rId93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4-2026%20(DC-1640).pdf" TargetMode="External"/><Relationship Id="rId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6-2025%20(DC-746).xlsx" TargetMode="External"/><Relationship Id="rId2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1-2025%20(DC-1418).xlsx" TargetMode="External"/><Relationship Id="rId1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8-2025%20(DC-751).xlsx" TargetMode="External"/><Relationship Id="rId3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8-2025%20(DC-1434).xlsx" TargetMode="External"/><Relationship Id="rId5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0-2025%20(DC-1367).xlsx" TargetMode="External"/><Relationship Id="rId79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%20de%20calibra&#231;&#227;o%20698-2025%20(DC-739).xlsx" TargetMode="External"/><Relationship Id="rId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2-2025%20(DC-1396).xlsx" TargetMode="External"/><Relationship Id="rId2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0-2025%20(DC-478).xlsx" TargetMode="External"/><Relationship Id="rId4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2-2025%20(DC-1243).xlsx" TargetMode="External"/><Relationship Id="rId65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4-2026%20(DC-1377).pdf" TargetMode="External"/><Relationship Id="rId107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9-2026%20(DC-1711).pdf" TargetMode="External"/><Relationship Id="rId3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2-2025%20(DC-1083).xlsx" TargetMode="External"/><Relationship Id="rId86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4_66442-BN000_HYUNDAI" TargetMode="External"/><Relationship Id="rId95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72_522640130_STELLANTIS" TargetMode="External"/><Relationship Id="rId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7-2025%20(DC-654).xlsx" TargetMode="External"/><Relationship Id="rId5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6-2025%20(DC-1535).xlsx" TargetMode="External"/><Relationship Id="rId5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1-2025%20(DC-1239).xlsx" TargetMode="External"/><Relationship Id="rId72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9-2026%20(DC-1115).pdf" TargetMode="External"/><Relationship Id="rId81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2-2026%20(DC-1498).pdf" TargetMode="External"/><Relationship Id="rId1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8-2025%20(DC-1163).xlsx" TargetMode="External"/><Relationship Id="rId4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6-2025%20(DC-59.A).xlsx" TargetMode="External"/><Relationship Id="rId100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3-2026%20(DC-1621).pdf" TargetMode="External"/><Relationship Id="rId108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0-2026%20(DC-1155).pdf" TargetMode="External"/><Relationship Id="rId66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5-2026%20(DC-100000054201).pdf" TargetMode="External"/><Relationship Id="rId87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7_77251_77261-BP000_HYUNDAI" TargetMode="External"/><Relationship Id="rId96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9-2026%20(DC-1390).pdf" TargetMode="External"/><Relationship Id="rId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1-2025%20(DC-1066).xlsx" TargetMode="External"/><Relationship Id="rId3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5-2025%20(DC-1117).xlsx" TargetMode="External"/><Relationship Id="rId5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3-2025%20(DC-100000056100_200).xlsx" TargetMode="External"/><Relationship Id="rId73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8-2026%20(DC-1510).pdf" TargetMode="External"/><Relationship Id="rId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9-2025%20(DC-1201).xlsx" TargetMode="External"/><Relationship Id="rId1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9-2025%20(DC-1397).xlsx" TargetMode="External"/><Relationship Id="rId3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9-2025%20(DC-1420).xlsx" TargetMode="External"/><Relationship Id="rId82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3-2026%20(DC-1330).pdf" TargetMode="External"/><Relationship Id="rId101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4-2026%20(DC-1408).pdf" TargetMode="External"/><Relationship Id="rId2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1-2025%20(DC-1120).xlsx" TargetMode="External"/><Relationship Id="rId4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7-2025%20(DC-742).xlsx" TargetMode="External"/><Relationship Id="rId67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4-2026%20(DC-803).pdf" TargetMode="External"/><Relationship Id="rId88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07_69138_69148-BP000_HYUNDAI" TargetMode="External"/><Relationship Id="rId109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11-2026%20(DC-1405).pdf" TargetMode="External"/><Relationship Id="rId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8-2025%20(DC-1359).xlsx" TargetMode="External"/><Relationship Id="rId3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8-2025%20(DC-883).xlsx" TargetMode="External"/><Relationship Id="rId5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5-2025%20(DC-1389).xlsx" TargetMode="External"/><Relationship Id="rId74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9-2026%20(DC-901).pdf" TargetMode="External"/><Relationship Id="rId1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6-2025%20(DC-1498).xlsx" TargetMode="External"/><Relationship Id="rId3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0-2025%20(DC-372).xlsx" TargetMode="External"/><Relationship Id="rId6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8-2025%20(DC-19.A).xlsx" TargetMode="External"/><Relationship Id="rId102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5-2026%20(DC-1392).pdf" TargetMode="External"/><Relationship Id="rId2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3-2025%20(DC-836).xlsx" TargetMode="External"/><Relationship Id="rId4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1-2025%20(DC-1053).xlsx" TargetMode="External"/><Relationship Id="rId68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5-2026%20(DC-1036).pdf" TargetMode="External"/><Relationship Id="rId89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5-2026%20(DC-1529).pdf" TargetMode="External"/><Relationship Id="rId90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9-2026%20(DC-1449).pdf" TargetMode="External"/><Relationship Id="rId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9-2025%20(DC-1381).xlsx" TargetMode="External"/><Relationship Id="rId3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2-2025%20(DC-970).xlsx" TargetMode="External"/><Relationship Id="rId5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9-2025%20(DC-100000055700).xlsx" TargetMode="External"/><Relationship Id="rId75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0-2026%20(DC-100000052700).pdf" TargetMode="External"/><Relationship Id="rId1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3-2025%20(DC-1271).xlsx" TargetMode="External"/><Relationship Id="rId1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7-2025%20(DC-1330).xlsx" TargetMode="External"/><Relationship Id="rId4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99_16736-6HZ-M000-21_HONDA" TargetMode="External"/><Relationship Id="rId96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74_52261947_STELLANTIS" TargetMode="External"/><Relationship Id="rId103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6-2026%20(DC-957).pdf" TargetMode="External"/><Relationship Id="rId3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4-2025%20(DC-1030).xlsx" TargetMode="External"/><Relationship Id="rId61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589_26313835_26313836_GM" TargetMode="External"/><Relationship Id="rId69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6-2026%20(DC-1365).pdf" TargetMode="External"/><Relationship Id="rId82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4-2026%20(DC-1299).pdf" TargetMode="External"/><Relationship Id="rId91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0-2026%20(DC-857).pdf" TargetMode="External"/><Relationship Id="rId2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0-2025%20(DC-729).xlsx" TargetMode="External"/><Relationship Id="rId1103" Type="http://schemas.openxmlformats.org/officeDocument/2006/relationships/drawing" Target="../drawings/drawing1.xml"/><Relationship Id="rId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5-2025%20(DC-100000052400).xlsx" TargetMode="External"/><Relationship Id="rId1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6-2025%20(DC-1061).xlsx" TargetMode="External"/><Relationship Id="rId5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3-2025%20(DC-1466).xlsx" TargetMode="External"/><Relationship Id="rId76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6_72850-BN000_72860-BN000_HYUNDAI" TargetMode="External"/><Relationship Id="rId97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1-2026%20(DC-1511).pdf" TargetMode="External"/><Relationship Id="rId1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8-2025%20(DC-1508).xlsx" TargetMode="External"/><Relationship Id="rId4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8-2025%20(DC-1442).xlsx" TargetMode="External"/><Relationship Id="rId62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1-2026%20(DC-840).pdf" TargetMode="External"/><Relationship Id="rId83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5-2026%20(DC-1531).pdf" TargetMode="External"/><Relationship Id="rId104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7-2026%20(DC-1086).pdf" TargetMode="External"/><Relationship Id="rId2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8-2025%20(DC-1020).xlsx" TargetMode="External"/><Relationship Id="rId4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9-2025%20(DC-748).xlsx" TargetMode="External"/><Relationship Id="rId92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0_31210-BP000_HYUNDAI" TargetMode="External"/><Relationship Id="rId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6-2025%20(DC-1251).xlsx" TargetMode="External"/><Relationship Id="rId1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7-2025%20(DC-709).xlsx" TargetMode="External"/><Relationship Id="rId3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3-2025%20(DC-963).xlsx" TargetMode="External"/><Relationship Id="rId5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86_763310813R_763303272R_RENAULT" TargetMode="External"/><Relationship Id="rId77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6_77196-BP000_HYUNDAI" TargetMode="External"/><Relationship Id="rId98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2-2026%20(DC-1447).pdf" TargetMode="External"/><Relationship Id="rId4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1-2025%20(DC-1552).xlsx" TargetMode="External"/><Relationship Id="rId63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2-2026%20(DC-1015).pdf" TargetMode="External"/><Relationship Id="rId84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6-2026%20(DC-1217).pdf" TargetMode="External"/><Relationship Id="rId105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5\Certificados%20de%20Terceiros%202025\DC_1601_522719790_522719780_STELLANTIS" TargetMode="External"/><Relationship Id="rId2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3-2025%20(DC-1402).xlsx" TargetMode="External"/><Relationship Id="rId4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3-2025%20(DC-1319).xlsx" TargetMode="External"/><Relationship Id="rId70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1-2026%20(DC-1383).pdf" TargetMode="External"/><Relationship Id="rId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0-2025%20(DC-1514).xlsx" TargetMode="External"/><Relationship Id="rId1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2-2025%20(DC-1518).xlsx" TargetMode="External"/><Relationship Id="rId5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1-2025%20(DC-1288).xlsx" TargetMode="External"/><Relationship Id="rId78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2-2026%20(DC-1151).pdf" TargetMode="External"/><Relationship Id="rId99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3-2026%20(DC-1469).pdf" TargetMode="External"/><Relationship Id="rId3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5-2025%20(DC-1070).xlsx" TargetMode="External"/><Relationship Id="rId4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2-2025%20(DC-1305).xlsx" TargetMode="External"/><Relationship Id="rId64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7-2026%20(DC-1359).pdf" TargetMode="External"/><Relationship Id="rId106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2-2026%20(DC-1639).pdf" TargetMode="External"/><Relationship Id="rId2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5-2025%20(DC-1202).xlsx" TargetMode="External"/><Relationship Id="rId2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7-2025%20(DC-1025).xlsx" TargetMode="External"/><Relationship Id="rId5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9-2025%20(DC-114.A).xlsx" TargetMode="External"/><Relationship Id="rId85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8_64162-BP000_HYUNDAI" TargetMode="External"/><Relationship Id="rId4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4-2025%20(DC-1314).xlsx" TargetMode="External"/><Relationship Id="rId71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2-2026%20(DC-585).pdf" TargetMode="External"/><Relationship Id="rId79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1-2026%20(DC-1575).pdf" TargetMode="External"/><Relationship Id="rId92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2-2026%20(DC-941).pdf" TargetMode="External"/><Relationship Id="rId1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1-2025%20(DC-1203).xlsx" TargetMode="External"/><Relationship Id="rId3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6-2025%20(DC-1546).xlsx" TargetMode="External"/><Relationship Id="rId2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1-2025%20(DC-855_856).xlsx" TargetMode="External"/><Relationship Id="rId65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8-2026%20(DC-1381).pdf" TargetMode="External"/><Relationship Id="rId86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7_72871-BN000_HYUNDAI" TargetMode="External"/><Relationship Id="rId2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0-2025%20(DC-1019).xlsx" TargetMode="External"/><Relationship Id="rId5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0-2025%20(DC-1561).xlsx" TargetMode="External"/><Relationship Id="rId72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3-2026%20(DC-1252).pdf" TargetMode="External"/><Relationship Id="rId93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53_64151-BP000_HYUNDAI" TargetMode="External"/><Relationship Id="rId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8-2025%20(DC-1267).xlsx" TargetMode="External"/><Relationship Id="rId1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2-2025%20(DC-3.A).xlsx" TargetMode="External"/><Relationship Id="rId3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2-2025%20(DC-1578).xlsx" TargetMode="External"/><Relationship Id="rId5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9-2025%20(DC-1333).xlsx" TargetMode="External"/><Relationship Id="rId100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7-2026%20(DC-1660).pdf" TargetMode="External"/><Relationship Id="rId2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2-2025%20(DC-846).xlsx" TargetMode="External"/><Relationship Id="rId4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3-2025%20(DC-1296).xlsx" TargetMode="External"/><Relationship Id="rId66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9-2026%20(DC-729).pdf" TargetMode="External"/><Relationship Id="rId87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18_65181-BP000_HYUNDAI" TargetMode="External"/><Relationship Id="rId106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706_764E28025R_RENAULT" TargetMode="External"/><Relationship Id="rId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7-2025%20(DC-1039).xlsx" TargetMode="External"/><Relationship Id="rId5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8-2025%20(DC-1207).xlsx" TargetMode="External"/><Relationship Id="rId73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2-2026%20(DC-1520).pdf" TargetMode="External"/><Relationship Id="rId94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0-2026%20(DC-1003).pdf" TargetMode="External"/><Relationship Id="rId1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88_52184337_52184340_GM" TargetMode="External"/><Relationship Id="rId3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3-2025%20(DC-1425).xlsx" TargetMode="External"/><Relationship Id="rId5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5-2025%20(DC-1268).xlsx" TargetMode="External"/><Relationship Id="rId101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8-2026%20(DC-1117).pdf" TargetMode="External"/><Relationship Id="rId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2-2025%20(DC-1357).xlsx" TargetMode="External"/><Relationship Id="rId2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5-2025%20(DC-1449).xlsx" TargetMode="External"/><Relationship Id="rId67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8-2026%20(DC-1245).pdf" TargetMode="External"/><Relationship Id="rId80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6-2026%20(DC-1533).pdf" TargetMode="External"/><Relationship Id="rId88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8-2026%20(DC-478).pdf" TargetMode="External"/><Relationship Id="rId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2-2025%20(DC-738).xlsx" TargetMode="External"/><Relationship Id="rId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2-2025%20(DC-1363).xlsx" TargetMode="External"/><Relationship Id="rId4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6-2025%20(DC-675).xlsx" TargetMode="External"/><Relationship Id="rId5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0-2025%20(DC-987).xlsx" TargetMode="External"/><Relationship Id="rId74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3-2026%20(DC-908).pdf" TargetMode="External"/><Relationship Id="rId107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4-2026%20(DC-1644).pdf" TargetMode="External"/><Relationship Id="rId1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0-2025%20(DC-1301).xlsx" TargetMode="External"/><Relationship Id="rId3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6-2025%20(DC-1032).xlsx" TargetMode="External"/><Relationship Id="rId95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67_9870679980_STELLANTIS" TargetMode="External"/><Relationship Id="rId102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9-2026%20(DC-963).pdf" TargetMode="External"/><Relationship Id="rId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04-2025%20(DC-1036).xlsx" TargetMode="External"/><Relationship Id="rId3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6-2025%20(DC-1091).xlsx" TargetMode="External"/><Relationship Id="rId5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6-2025%20(DC-1128).xlsx" TargetMode="External"/><Relationship Id="rId6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2-2025%20(DC-111.A).xlsx" TargetMode="External"/><Relationship Id="rId81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7-2026%20(DC-1485).pdf" TargetMode="External"/><Relationship Id="rId2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7-2025%20(DC-1576).xlsx" TargetMode="External"/><Relationship Id="rId4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8-2025%20(DC-985).xlsx" TargetMode="External"/><Relationship Id="rId89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9-2026%20(DC-847).pdf" TargetMode="External"/><Relationship Id="rId108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5-2026%20(DC-806).pdf" TargetMode="External"/><Relationship Id="rId1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7-2025%20(DC-879).xlsx" TargetMode="External"/><Relationship Id="rId3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0-2025%20(DC-100000054300).xlsx" TargetMode="External"/><Relationship Id="rId75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06_69112-BP100_HYUNDAI" TargetMode="External"/><Relationship Id="rId96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4-2026%20(DC-1082).pdf" TargetMode="External"/><Relationship Id="rId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3-2025%20(DC-1115).xlsx" TargetMode="External"/><Relationship Id="rId1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1-2025%20(DC-1542).xlsx" TargetMode="External"/><Relationship Id="rId3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8-2025%20(DC-1325).xlsx" TargetMode="External"/><Relationship Id="rId61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4-2026%20(DC-737).pdf" TargetMode="External"/><Relationship Id="rId82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8-2026%20(DC-1321).pdf" TargetMode="External"/><Relationship Id="rId2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1-2025%20(DC-1382).xlsx" TargetMode="External"/><Relationship Id="rId4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2-2025%20(DC-1263).xlsx" TargetMode="External"/><Relationship Id="rId67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1-2026%20(DC-1201).pdf" TargetMode="External"/><Relationship Id="rId109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6-2026%20(DC-1149).pdf" TargetMode="External"/><Relationship Id="rId1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0-2025%20(DC-100000052101).xlsx" TargetMode="External"/><Relationship Id="rId3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2-2025%20(DC-1409).xlsx" TargetMode="External"/><Relationship Id="rId5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0-2025%20(DC-1222).xlsx" TargetMode="External"/><Relationship Id="rId76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3_76195-BP000_HYUNDAI" TargetMode="External"/><Relationship Id="rId97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5-2026%20(DC-1404).pdf" TargetMode="External"/><Relationship Id="rId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0-2025%20(DC-1043).xlsx" TargetMode="External"/><Relationship Id="rId62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5-2026%20(DC-1039).pdf" TargetMode="External"/><Relationship Id="rId83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9-2026%20(DC-1544).pdf" TargetMode="External"/><Relationship Id="rId2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6-2025%20(DC-1142).xlsx" TargetMode="External"/><Relationship Id="rId4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2-2025%20(DC-1394).xlsx" TargetMode="External"/><Relationship Id="rId102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0-2026%20(DC-1141).pdf" TargetMode="External"/><Relationship Id="rId1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3-2025%20(DC-951).xlsx" TargetMode="External"/><Relationship Id="rId68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0-2026%20(DC-1248).pdf" TargetMode="External"/><Relationship Id="rId77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5-2026%20(DC-100000056900).pdf" TargetMode="External"/><Relationship Id="rId90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4-2026%20(DC-1119).pdf" TargetMode="External"/><Relationship Id="rId98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6-2026%20(DC-1025).pdf" TargetMode="External"/><Relationship Id="rId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4-2025%20(DC-1376).xlsx" TargetMode="External"/><Relationship Id="rId3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7-2025%20(DC-958).xlsx" TargetMode="External"/><Relationship Id="rId5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4-2025%20(DC-1232).xlsx" TargetMode="External"/><Relationship Id="rId63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6-2026%20(DC-1583).pdf" TargetMode="External"/><Relationship Id="rId1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2-2025%20(DC-1321).xlsx" TargetMode="External"/><Relationship Id="rId2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8-2025%20(DC-1411).xlsx" TargetMode="External"/><Relationship Id="rId4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3-2025%20(DC-1123).xlsx" TargetMode="External"/><Relationship Id="rId84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2_64150-BP000_HYUNDAI" TargetMode="External"/><Relationship Id="rId103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1-2026%20(DC-1546).pdf" TargetMode="External"/><Relationship Id="rId4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7-2025%20(DC-1306).xlsx" TargetMode="External"/><Relationship Id="rId69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1-2026%20(DC-1004).pdf" TargetMode="External"/><Relationship Id="rId70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5-2026%20(DC-744).pdf" TargetMode="External"/><Relationship Id="rId91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5-2026%20(DC-784).pdf" TargetMode="External"/><Relationship Id="rId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7-2025%20(DC-576).xlsx" TargetMode="External"/><Relationship Id="rId1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6-2025%20(DC-1522).xlsx" TargetMode="External"/><Relationship Id="rId3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7-2025%20(DC-1410).xlsx" TargetMode="External"/><Relationship Id="rId5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8-2025%20(DC-1146).xlsx" TargetMode="External"/><Relationship Id="rId99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7-2026%20(DC-1423).pdf" TargetMode="External"/><Relationship Id="rId1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3-2025%20(DC-1544).xlsx" TargetMode="External"/><Relationship Id="rId2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2-2025%20(DC-1539).xlsx" TargetMode="External"/><Relationship Id="rId4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2-2025%20(DC-400001502100).xlsx" TargetMode="External"/><Relationship Id="rId85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12_69139-BN000_HYUNDAI" TargetMode="External"/><Relationship Id="rId104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2-2026%20(DC-1070).pdf" TargetMode="External"/><Relationship Id="rId2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1-2025%20(DC-1075).xlsx" TargetMode="External"/><Relationship Id="rId4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8-2025%20(DC-100000057500).xlsx" TargetMode="External"/><Relationship Id="rId71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6-2026%20(DC-1112).pdf" TargetMode="External"/><Relationship Id="rId92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6-2026%20(DC-1121).pdf" TargetMode="External"/><Relationship Id="rId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1-2025%20(DC-1244).xlsx" TargetMode="External"/><Relationship Id="rId1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5-2025%20(DC-1216).xlsx" TargetMode="External"/><Relationship Id="rId3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10-2025%20(DC-1554).xlsx" TargetMode="External"/><Relationship Id="rId5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2-2025%20(DC-13.A).xlsx" TargetMode="External"/><Relationship Id="rId77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9_64163-BP000_HYUNDAI" TargetMode="External"/><Relationship Id="rId2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5-2025%20(DC-952).xlsx" TargetMode="External"/><Relationship Id="rId4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6-2025%20(DC-1584).xlsx" TargetMode="External"/><Relationship Id="rId86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9_84291-BN000_HYUNDAI" TargetMode="External"/><Relationship Id="rId105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3-2026%20(DC-1440).pdf" TargetMode="External"/><Relationship Id="rId63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7-2026%20(DC-1043).pdf" TargetMode="External"/><Relationship Id="rId72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5-2026%20(DC-745).pdf" TargetMode="External"/><Relationship Id="rId93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3-2026%20(DC-1631).pdf" TargetMode="External"/><Relationship Id="rId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5-2025%20(DC-744).xlsx" TargetMode="External"/><Relationship Id="rId3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6-2025%20(DC-1412).xlsx" TargetMode="External"/><Relationship Id="rId5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6-2025%20(DC-1051).xlsx" TargetMode="External"/><Relationship Id="rId2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7-2025%20(DC-1029).xlsx" TargetMode="External"/><Relationship Id="rId78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7-2026%20(DC-775).pdf" TargetMode="External"/><Relationship Id="rId87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2-2026%20(DC-1202).pdf" TargetMode="External"/><Relationship Id="rId4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7-2025%20(DC-1209).xlsx" TargetMode="External"/><Relationship Id="rId64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8-2026%20(DC-1271).pdf" TargetMode="External"/><Relationship Id="rId73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6-2026%20(DC-1527).pdf" TargetMode="External"/><Relationship Id="rId106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7-2026%20(DC-1608).pdf" TargetMode="External"/><Relationship Id="rId2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0-2025%20(DC-1417).xlsx" TargetMode="External"/><Relationship Id="rId5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4-2025%20(DC-976).xlsx" TargetMode="External"/><Relationship Id="rId94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4-2026%20(DC-1019).pdf" TargetMode="External"/><Relationship Id="rId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6-2025%20(DC-1369).xlsx" TargetMode="External"/><Relationship Id="rId1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7-2025%20(DC-745).xlsx" TargetMode="External"/><Relationship Id="rId3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7-2025%20(DC-1432).xlsx" TargetMode="External"/><Relationship Id="rId5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9-2025%20(DC-1366).xlsx" TargetMode="External"/><Relationship Id="rId79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8-2026%20(DC-1385).pdf" TargetMode="External"/><Relationship Id="rId80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0-2026%20(DC-9.A).pdf" TargetMode="External"/><Relationship Id="rId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1-2025%20(DC-842).xlsx" TargetMode="External"/><Relationship Id="rId2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9-2025%20(DC-1505).xlsx" TargetMode="External"/><Relationship Id="rId4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1-2025%20(DC-1242).xlsx" TargetMode="External"/><Relationship Id="rId65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3-2026%20(DC-1376).pdf" TargetMode="External"/><Relationship Id="rId107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8-2026%20(DC-1659).pdf" TargetMode="External"/><Relationship Id="rId2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3-2025%20(DC-1098).xlsx" TargetMode="External"/><Relationship Id="rId3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1-2025%20(DC-1082).xlsx" TargetMode="External"/><Relationship Id="rId5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5-2025%20(DC-1538).xlsx" TargetMode="External"/><Relationship Id="rId95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71_9869232380_STELLANTIS" TargetMode="External"/><Relationship Id="rId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6-2025%20(DC-585).xlsx" TargetMode="External"/><Relationship Id="rId1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7-2025%20(DC-1218).xlsx" TargetMode="External"/><Relationship Id="rId3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0-2025%20(DC-900).xlsx" TargetMode="External"/><Relationship Id="rId5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0-2025%20(DC-1237).xlsx" TargetMode="External"/><Relationship Id="rId81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1-2026%20(DC-1497).pdf" TargetMode="External"/><Relationship Id="rId100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2-2026%20(DC-1586).pdf" TargetMode="External"/><Relationship Id="rId2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1-2025%20(DC-955).xlsx" TargetMode="External"/><Relationship Id="rId4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5-2025%20(DC-58.A).xlsx" TargetMode="External"/><Relationship Id="rId66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4-2026%20(DC-10000005250120).pdf" TargetMode="External"/><Relationship Id="rId87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3_77197_77198-BN000_HYUNDAI" TargetMode="External"/><Relationship Id="rId108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9-2026%20(DC-917).pdf" TargetMode="External"/><Relationship Id="rId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0-2025%20(DC-1015).xlsx" TargetMode="External"/><Relationship Id="rId1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2-2025%20(DC-903).xlsx" TargetMode="External"/><Relationship Id="rId3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4-2025%20(DC-1081).xlsx" TargetMode="External"/><Relationship Id="rId5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603_522719770-ITEM02_STELLANTIS" TargetMode="External"/><Relationship Id="rId96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8-2026%20(DC-1549).pdf" TargetMode="External"/><Relationship Id="rId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8-2025%20(DC-1253).xlsx" TargetMode="External"/><Relationship Id="rId73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7-2026%20(DC-1460).pdf" TargetMode="External"/><Relationship Id="rId82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2-2026%20(DC-1326).pdf" TargetMode="External"/><Relationship Id="rId101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3-2026%20(DC-1162).pdf" TargetMode="External"/><Relationship Id="rId1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8-2025%20(DC-1226).xlsx" TargetMode="External"/><Relationship Id="rId4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6-2025%20(DC-1437).xlsx" TargetMode="External"/><Relationship Id="rId109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10-2026%20(DC-1559).pdf" TargetMode="External"/><Relationship Id="rId67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3-2026%20(DC-763).pdf" TargetMode="External"/><Relationship Id="rId88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4-2026%20(DC-1205).pdf" TargetMode="External"/><Relationship Id="rId97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9-2026%20(DC-1416).pdf" TargetMode="External"/><Relationship Id="rId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7-2025%20(DC-1356).xlsx" TargetMode="External"/><Relationship Id="rId3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7-2025%20(DC-1393).xlsx" TargetMode="External"/><Relationship Id="rId5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4-2025%20(DC-540).xlsx" TargetMode="External"/><Relationship Id="rId74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8-2026%20(DC-884).pdf" TargetMode="External"/><Relationship Id="rId83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3-2026%20(DC-1214).pdf" TargetMode="External"/><Relationship Id="rId1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5-2025%20(DC-1497).xlsx" TargetMode="External"/><Relationship Id="rId3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9-2025%20(DC-1438).xlsx" TargetMode="External"/><Relationship Id="rId60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7-2025%20(DC-18.A).xlsx" TargetMode="External"/><Relationship Id="rId102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4-2026%20(DC-750).pdf" TargetMode="External"/><Relationship Id="rId2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2-2025%20(DC-797).xlsx" TargetMode="External"/><Relationship Id="rId4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0-2025%20(DC-1007).xlsx" TargetMode="External"/><Relationship Id="rId68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4-2026%20(DC-1267).pdf" TargetMode="External"/><Relationship Id="rId89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4-2026%20(DC-1528).pdf" TargetMode="External"/><Relationship Id="rId90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8-2026%20(DC-14.A).pdf" TargetMode="External"/><Relationship Id="rId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8-2025%20(DC-1380).xlsx" TargetMode="External"/><Relationship Id="rId1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2-2025%20(DC-1265).xlsx" TargetMode="External"/><Relationship Id="rId3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1-2025%20(DC-1525).xlsx" TargetMode="External"/><Relationship Id="rId5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8-2025%20(DC-100000053100).xlsx" TargetMode="External"/><Relationship Id="rId75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9-2026%20(DC-100000052101).pdf" TargetMode="External"/><Relationship Id="rId1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6-2025%20(DC-1326).xlsx" TargetMode="External"/><Relationship Id="rId3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3-2025%20(DC-966).xlsx" TargetMode="External"/><Relationship Id="rId4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98_16723-6WZZ-M000-22_HONDA" TargetMode="External"/><Relationship Id="rId61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588_52184337_52184340_GM" TargetMode="External"/><Relationship Id="rId103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5-2026%20(DC-1554).pdf" TargetMode="External"/><Relationship Id="rId2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3-2025%20(DC-904).xlsx" TargetMode="External"/><Relationship Id="rId4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1-2025%20(DC-1310).xlsx" TargetMode="External"/><Relationship Id="rId69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5-2026%20(DC-1364).pdf" TargetMode="External"/><Relationship Id="rId91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9-2026%20(DC-855_856).pdf" TargetMode="External"/><Relationship Id="rId1102" Type="http://schemas.openxmlformats.org/officeDocument/2006/relationships/printerSettings" Target="../printerSettings/printerSettings1.bin"/><Relationship Id="rId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4-2025%20(DC-100000052102).xlsx" TargetMode="External"/><Relationship Id="rId3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3-2025%20(DC-16.A).xlsx" TargetMode="External"/><Relationship Id="rId5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2-2025%20(DC-1448).xlsx" TargetMode="External"/><Relationship Id="rId76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1_28795-BP100_HYUNDAI" TargetMode="External"/><Relationship Id="rId1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5-2025%20(DC-909).xlsx" TargetMode="External"/><Relationship Id="rId1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7-2025%20(DC-1533).xlsx" TargetMode="External"/><Relationship Id="rId2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8-2025%20(DC-811).xlsx" TargetMode="External"/><Relationship Id="rId4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7-2025%20(DC-1414).xlsx" TargetMode="External"/><Relationship Id="rId97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0-2026%20(DC-1391).pdf" TargetMode="External"/><Relationship Id="rId104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6-2026%20(DC-1078).pdf" TargetMode="External"/><Relationship Id="rId62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0-2026%20(DC-1273).pdf" TargetMode="External"/><Relationship Id="rId83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4-2026%20(DC-1332).pdf" TargetMode="External"/><Relationship Id="rId92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14_69122-BP000_HYUNDAI" TargetMode="External"/><Relationship Id="rId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5-2025%20(DC-1249).xlsx" TargetMode="External"/><Relationship Id="rId2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7-2025%20(DC-1003).xlsx" TargetMode="External"/><Relationship Id="rId5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6-2025%20(DC-1570).xlsx" TargetMode="External"/><Relationship Id="rId1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6-2025%20(DC-100000056900).xlsx" TargetMode="External"/><Relationship Id="rId77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5_77195-BP000_HYUNDAI" TargetMode="External"/><Relationship Id="rId98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1-2026%20(DC-1418).pdf" TargetMode="External"/><Relationship Id="rId105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5\Certificados%20de%20Terceiros%202025\DC_1595_46360401_STELLANTIS" TargetMode="External"/><Relationship Id="rId4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0-2025%20(DC-1100).xlsx" TargetMode="External"/><Relationship Id="rId63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1-2026%20(DC-996).pdf" TargetMode="External"/><Relationship Id="rId84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5-2026%20(DC-1216).pdf" TargetMode="External"/><Relationship Id="rId2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2-2025%20(DC-1435).xlsx" TargetMode="External"/><Relationship Id="rId4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2-2025%20(DC-1318).xlsx" TargetMode="External"/><Relationship Id="rId70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0-2026%20(DC-1373).pdf" TargetMode="External"/><Relationship Id="rId93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7-2026%20(DC-1142).pdf" TargetMode="External"/><Relationship Id="rId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9-2025%20(DC-759).xlsx" TargetMode="External"/><Relationship Id="rId1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1-2025%20(DC-1513).xlsx" TargetMode="External"/><Relationship Id="rId3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4-2025%20(DC-1063).xlsx" TargetMode="External"/><Relationship Id="rId5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0-2025%20(DC-1287).xlsx" TargetMode="External"/><Relationship Id="rId78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1-2026%20(DC-1137).pdf" TargetMode="External"/><Relationship Id="rId99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2-2026%20(DC-1098).pdf" TargetMode="External"/><Relationship Id="rId2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2-2025%20(DC-400001501801).xlsx" TargetMode="External"/><Relationship Id="rId4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1-2025%20(DC-1304).xlsx" TargetMode="External"/><Relationship Id="rId64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6-2026%20(DC-1356).pdf" TargetMode="External"/><Relationship Id="rId85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57_64160-BP000_HYUNDAI" TargetMode="External"/><Relationship Id="rId106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1-2026%20(DC-1634).pdf" TargetMode="External"/><Relationship Id="rId2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6-2025%20(DC-984).xlsx" TargetMode="External"/><Relationship Id="rId4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3-2025%20(DC-1313).xlsx" TargetMode="External"/><Relationship Id="rId5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8-2025%20(DC-113.A).xlsx" TargetMode="External"/><Relationship Id="rId71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1-2026%20(DC-1515).pdf" TargetMode="External"/><Relationship Id="rId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00-2025%20(DC-1384).xlsx" TargetMode="External"/><Relationship Id="rId1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0-2025%20(DC-1138).xlsx" TargetMode="External"/><Relationship Id="rId5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3-2025%20(DC-100000051900).xlsx" TargetMode="External"/><Relationship Id="rId79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0-2026%20(DC-1138).pdf" TargetMode="External"/><Relationship Id="rId3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5-2025%20(DC-1574).xlsx" TargetMode="External"/><Relationship Id="rId4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5-2025%20(DC-885).xlsx" TargetMode="External"/><Relationship Id="rId65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7-2026%20(DC-1380).pdf" TargetMode="External"/><Relationship Id="rId86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1_77193_77194-BP000_HYUNDAI" TargetMode="External"/><Relationship Id="rId107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2-2026%20(DC-1714).pdf" TargetMode="External"/><Relationship Id="rId2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0-2025%20(DC-851).xlsx" TargetMode="External"/><Relationship Id="rId2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8-2025%20(DC-973).xlsx" TargetMode="External"/><Relationship Id="rId3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7-2025%20(DC-1549).xlsx" TargetMode="External"/><Relationship Id="rId5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9-2025%20(DC-1560).xlsx" TargetMode="External"/><Relationship Id="rId72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2-2026%20(DC-1246).pdf" TargetMode="External"/><Relationship Id="rId93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1_31211-BP000_HYUNDAI" TargetMode="External"/><Relationship Id="rId100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6-2026%20(DC-1655).pdf" TargetMode="External"/><Relationship Id="rId1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1-2025%20(DC-1085).xlsx" TargetMode="External"/><Relationship Id="rId3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1-2025%20(DC-806).xlsx" TargetMode="External"/><Relationship Id="rId2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1-2025%20(DC-1483).xlsx" TargetMode="External"/><Relationship Id="rId66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8-2026%20(DC-705).pdf" TargetMode="External"/><Relationship Id="rId87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4_67172-BN000_HYUNDAI" TargetMode="External"/><Relationship Id="rId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6-2025%20(DC-1038).xlsx" TargetMode="External"/><Relationship Id="rId5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6-2025%20(DC-634).xlsx" TargetMode="External"/><Relationship Id="rId73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1-2026%20(DC-1519).pdf" TargetMode="External"/><Relationship Id="rId94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9-2026%20(DC-1158).pdf" TargetMode="External"/><Relationship Id="rId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1-2025%20(DC-1515).xlsx" TargetMode="External"/><Relationship Id="rId1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83_26313835_26313836_GM" TargetMode="External"/><Relationship Id="rId3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2-2025%20(DC-1424).xlsx" TargetMode="External"/><Relationship Id="rId5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4-2025%20(DC-1260).xlsx" TargetMode="External"/><Relationship Id="rId80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5-2026%20(DC-1532).pdf" TargetMode="External"/><Relationship Id="rId101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7-2026%20(DC-1081).pdf" TargetMode="External"/><Relationship Id="rId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1-2025%20(DC-737).xlsx" TargetMode="External"/><Relationship Id="rId2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4-2025%20(DC-14.A).xlsx" TargetMode="External"/><Relationship Id="rId4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3-2025%20(DC-100000055100).xlsx" TargetMode="External"/><Relationship Id="rId67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7-2026%20(DC-1244).pdf" TargetMode="External"/><Relationship Id="rId88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7-2026%20(DC-1548).pdf" TargetMode="External"/><Relationship Id="rId107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3-2026%20(DC-1643).pdf" TargetMode="External"/><Relationship Id="rId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1-2025%20(DC-1362).xlsx" TargetMode="External"/><Relationship Id="rId3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5-2025%20(DC-1027).xlsx" TargetMode="External"/><Relationship Id="rId5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9-2025%20(DC-1108).xlsx" TargetMode="External"/><Relationship Id="rId74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2-2026%20(DC-904).pdf" TargetMode="External"/><Relationship Id="rId95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0-2026%20(DC-1033).pdf" TargetMode="External"/><Relationship Id="rId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02-2025%20(DC-1467).xlsx" TargetMode="External"/><Relationship Id="rId1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9-2025%20(DC-1300).xlsx" TargetMode="External"/><Relationship Id="rId3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5-2025%20(DC-1087).xlsx" TargetMode="External"/><Relationship Id="rId5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5-2025%20(DC-915).xlsx" TargetMode="External"/><Relationship Id="rId60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1-2025%20(DC-23.A).xlsx" TargetMode="External"/><Relationship Id="rId81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6-2026%20(DC-1400).pdf" TargetMode="External"/><Relationship Id="rId102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8-2026%20(DC-959).pdf" TargetMode="External"/><Relationship Id="rId2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6-2025%20(DC-1517).xlsx" TargetMode="External"/><Relationship Id="rId68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8-2026%20(DC-1530).pdf" TargetMode="External"/><Relationship Id="rId89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8-2026%20(DC-846).pdf" TargetMode="External"/><Relationship Id="rId108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4-2026%20(DC-788).pdf" TargetMode="External"/><Relationship Id="rId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2-2025%20(DC-1388).xlsx" TargetMode="External"/><Relationship Id="rId4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7-2025%20(DC-934).xlsx" TargetMode="External"/><Relationship Id="rId5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5-2025%20(DC-1134).xlsx" TargetMode="External"/><Relationship Id="rId75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3-2026%20(DC-100000053300).pdf" TargetMode="External"/><Relationship Id="rId1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6-2025%20(DC-1228).xlsx" TargetMode="External"/><Relationship Id="rId1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0-2025%20(DC-1541).xlsx" TargetMode="External"/><Relationship Id="rId3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9-2025%20(DC-1162).xlsx" TargetMode="External"/><Relationship Id="rId3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7-2025%20(DC-1317).xlsx" TargetMode="External"/><Relationship Id="rId4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9-2025%20(DC-1558).xlsx" TargetMode="External"/><Relationship Id="rId96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3-2026%20(DC-1079).pdf" TargetMode="External"/><Relationship Id="rId103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9-2026%20(DC-969).pdf" TargetMode="External"/><Relationship Id="rId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2-2025%20(DC-1114).xlsx" TargetMode="External"/><Relationship Id="rId61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3-2026%20(DC-1396).pdf" TargetMode="External"/><Relationship Id="rId82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7-2026%20(DC-1320).pdf" TargetMode="External"/><Relationship Id="rId2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1-2025%20(DC-1004).xlsx" TargetMode="External"/><Relationship Id="rId4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1-2025%20(DC-1262).xlsx" TargetMode="External"/><Relationship Id="rId109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5-2026%20(DC-1148).pdf" TargetMode="External"/><Relationship Id="rId1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9-2025%20(DC-1327).xlsx" TargetMode="External"/><Relationship Id="rId3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1-2025%20(DC-1408).xlsx" TargetMode="External"/><Relationship Id="rId76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2_76271-BP000%20_76281-BP000_HYUNDAI" TargetMode="External"/><Relationship Id="rId97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4-2026%20(DC-1403).pdf" TargetMode="External"/><Relationship Id="rId1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1-2025%20(DC-64000071050020).xlsx" TargetMode="External"/><Relationship Id="rId62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4-2026%20(DC-1038).pdf" TargetMode="External"/><Relationship Id="rId83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8-2026%20(DC-1543).pdf" TargetMode="External"/><Relationship Id="rId2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4-2025%20(DC-866).xlsx" TargetMode="External"/><Relationship Id="rId4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3-2025%20(DC-1395).xlsx" TargetMode="External"/><Relationship Id="rId68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9-2026%20(DC-1247).pdf" TargetMode="External"/><Relationship Id="rId90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3-2026%20(DC-1062).pdf" TargetMode="External"/><Relationship Id="rId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3-2025%20(DC-1375).xlsx" TargetMode="External"/><Relationship Id="rId1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2-2025%20(DC-808).xlsx" TargetMode="External"/><Relationship Id="rId3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6-2025%20(DC-957).xlsx" TargetMode="External"/><Relationship Id="rId5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3-2025%20(DC-1109).xlsx" TargetMode="External"/><Relationship Id="rId77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4-2026%20(DC-100000054900).pdf" TargetMode="External"/><Relationship Id="rId98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5-2026%20(DC-984).pdf" TargetMode="External"/><Relationship Id="rId63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5-2026%20(DC-1582).pdf" TargetMode="External"/><Relationship Id="rId84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9-2026%20(DC-1606).pdf" TargetMode="External"/><Relationship Id="rId103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0-2026%20(DC-1084).pdf" TargetMode="External"/><Relationship Id="rId2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6-2025%20(DC-1407).xlsx" TargetMode="External"/><Relationship Id="rId4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2-2025%20(DC-924).xlsx" TargetMode="External"/><Relationship Id="rId4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6-2025%20(DC-1208).xlsx" TargetMode="External"/><Relationship Id="rId70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4-2026%20(DC-1467).pdf" TargetMode="External"/><Relationship Id="rId1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5-2025%20(DC-1521).xlsx" TargetMode="External"/><Relationship Id="rId3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9-2025%20(DC-1077).xlsx" TargetMode="External"/><Relationship Id="rId69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0-2026%20(DC-1002).pdf" TargetMode="External"/><Relationship Id="rId78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5-2026%20(DC-1611).pdf" TargetMode="External"/><Relationship Id="rId91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4-2026%20(DC-783).pdf" TargetMode="External"/><Relationship Id="rId99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6-2026%20(DC-1422).pdf" TargetMode="External"/><Relationship Id="rId4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5-2025%20(DC-803).xlsx" TargetMode="External"/><Relationship Id="rId5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7-2025%20(DC-1145).xlsx" TargetMode="External"/><Relationship Id="rId64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0-2026%20(DC-1362).pdf" TargetMode="External"/><Relationship Id="rId85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5_728A0_728B0-BN000_HYUNDAI" TargetMode="External"/><Relationship Id="rId1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2-2025%20(DC-1543).xlsx" TargetMode="External"/><Relationship Id="rId2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8-2025%20(DC-871_872).xlsx" TargetMode="External"/><Relationship Id="rId2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0-2025%20(DC-1069).xlsx" TargetMode="External"/><Relationship Id="rId4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1-2025%20(DC-400001501900).xlsx" TargetMode="External"/><Relationship Id="rId5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2-2025%20(DC-1224).xlsx" TargetMode="External"/><Relationship Id="rId104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1-2026%20(DC-1063).pdf" TargetMode="External"/><Relationship Id="rId4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7-2025%20(DC-100000055300).xlsx" TargetMode="External"/><Relationship Id="rId71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5-2026%20(DC-708).pdf" TargetMode="External"/><Relationship Id="rId92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5-2026%20(DC-1010).pdf" TargetMode="External"/><Relationship Id="rId5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0-2025%20(DC-1238).xlsx" TargetMode="External"/><Relationship Id="rId1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4-2025%20(DC-1215).xlsx" TargetMode="External"/><Relationship Id="rId3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9-2025%20(DC-1553).xlsx" TargetMode="External"/><Relationship Id="rId5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1-2025%20(DC-1143).xlsx" TargetMode="External"/><Relationship Id="rId2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4-2025%20(DC-941).xlsx" TargetMode="External"/><Relationship Id="rId4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5-2025%20(DC-1286).xlsx" TargetMode="External"/><Relationship Id="rId86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2_77178_77188-BN000_HYUNDAI" TargetMode="External"/><Relationship Id="rId105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2-2026%20(DC-1439).pdf" TargetMode="External"/><Relationship Id="rId2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3-2025%20(DC-1023).xlsx" TargetMode="External"/><Relationship Id="rId72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4-2026%20(DC-1228).pdf" TargetMode="External"/><Relationship Id="rId93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2-2026%20(DC-1630).pdf" TargetMode="External"/><Relationship Id="rId6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4-2025%20(DC-1125).xlsx" TargetMode="External"/><Relationship Id="rId1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5-2025%20(DC-9.B).xlsx" TargetMode="External"/><Relationship Id="rId3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5-2025%20(DC-1406).xlsx" TargetMode="External"/><Relationship Id="rId5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5-2025%20(DC-1581).xlsx" TargetMode="External"/><Relationship Id="rId78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6-2026%20(DC-709).pdf" TargetMode="External"/><Relationship Id="rId2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5-2025%20(DC-947).xlsx" TargetMode="External"/><Relationship Id="rId4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6-2025%20(DC-1463).xlsx" TargetMode="External"/><Relationship Id="rId87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1-2026%20(DC-64000071050020).pdf" TargetMode="External"/><Relationship Id="rId106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702_764971164R_764964337R_RENAULT" TargetMode="External"/><Relationship Id="rId64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7-2026%20(DC-1265).pdf" TargetMode="External"/><Relationship Id="rId73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5-2026%20(DC-1526).pdf" TargetMode="External"/><Relationship Id="rId94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3-2026%20(DC-973).pdf" TargetMode="External"/><Relationship Id="rId7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5-2025%20(DC-1368).xlsx" TargetMode="External"/><Relationship Id="rId3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6-2025%20(DC-1431).xlsx" TargetMode="External"/><Relationship Id="rId5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2-2025%20(DC-1255).xlsx" TargetMode="External"/><Relationship Id="rId5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8-2025%20(DC-1358).xlsx" TargetMode="External"/><Relationship Id="rId80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9-2026%20(DC-6.A).pdf" TargetMode="External"/><Relationship Id="rId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7-2025%20(DC-919).xlsx" TargetMode="External"/><Relationship Id="rId2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8-2025%20(DC-1504).xlsx" TargetMode="External"/><Relationship Id="rId79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7-2026%20(DC-1203).pdf" TargetMode="External"/><Relationship Id="rId88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1-2026%20(DC-863).pdf" TargetMode="External"/><Relationship Id="rId107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7-2026%20(DC-1658).pdf" TargetMode="External"/><Relationship Id="rId4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0-2025%20(DC-1241).xlsx" TargetMode="External"/><Relationship Id="rId65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2-2026%20(DC-1375).pdf" TargetMode="External"/><Relationship Id="rId74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6-2026%20(DC-1292).pdf" TargetMode="External"/><Relationship Id="rId2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2-2025%20(DC-1088).xlsx" TargetMode="External"/><Relationship Id="rId3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0-2025%20(DC-1079).xlsx" TargetMode="External"/><Relationship Id="rId3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9-2025%20(DC-899).xlsx" TargetMode="External"/><Relationship Id="rId5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4-2025%20(DC-1537).xlsx" TargetMode="External"/><Relationship Id="rId60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5-2025%20(DC-1230).xlsx" TargetMode="External"/><Relationship Id="rId95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70_9870679980%20(3)_STELLANTIS" TargetMode="External"/><Relationship Id="rId8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4-2025%20(DC-1530).xlsx" TargetMode="External"/><Relationship Id="rId1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6-2025%20(DC-1217).xlsx" TargetMode="External"/><Relationship Id="rId5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9-2025%20(DC-1235).xlsx" TargetMode="External"/><Relationship Id="rId81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0-2026%20(DC-1496).pdf" TargetMode="External"/><Relationship Id="rId100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1-2026%20(DC-1382).pdf" TargetMode="External"/><Relationship Id="rId2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0-2025%20(DC-1529).xlsx" TargetMode="External"/><Relationship Id="rId4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4-2025%20(DC-1093).xlsx" TargetMode="External"/><Relationship Id="rId66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3-2026%20(DC-100000052400).pdf" TargetMode="External"/><Relationship Id="rId108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8-2026%20(DC-916).pdf" TargetMode="External"/><Relationship Id="rId1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8-2025%20(DC-996).xlsx" TargetMode="External"/><Relationship Id="rId1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1-2025%20(DC-902).xlsx" TargetMode="External"/><Relationship Id="rId3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3-2025%20(DC-1028).xlsx" TargetMode="External"/><Relationship Id="rId5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604_522719770-ITEM03_STELLANTIS" TargetMode="External"/><Relationship Id="rId96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7-2026%20(DC-1540).pdf" TargetMode="External"/><Relationship Id="rId9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7-2025%20(DC-1252).xlsx" TargetMode="External"/><Relationship Id="rId1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7-2025%20(DC-27.A).xlsx" TargetMode="External"/><Relationship Id="rId3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1-2025%20(DC-100000055900).xlsx" TargetMode="External"/><Relationship Id="rId82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1-2026%20(DC-1324).pdf" TargetMode="External"/><Relationship Id="rId101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2-2026%20(DC-1161).pdf" TargetMode="External"/><Relationship Id="rId2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4-2025%20(DC-1391).xlsx" TargetMode="External"/><Relationship Id="rId4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5-2025%20(DC-1436).xlsx" TargetMode="External"/><Relationship Id="rId67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2-2026%20(DC-732).pdf" TargetMode="External"/><Relationship Id="rId88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3-2026%20(DC-1204).pdf" TargetMode="External"/><Relationship Id="rId109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9-2026%20(DC-1558).pdf" TargetMode="External"/><Relationship Id="rId2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5-2025%20(DC-1055).xlsx" TargetMode="External"/><Relationship Id="rId1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3-2025%20(DC-100000052900).xlsx" TargetMode="External"/><Relationship Id="rId3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6-2025%20(DC-1392).xlsx" TargetMode="External"/><Relationship Id="rId5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3-2025%20(DC-1334).xlsx" TargetMode="External"/><Relationship Id="rId97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8-2026%20(DC-1411).pdf" TargetMode="External"/><Relationship Id="rId74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7-2026%20(DC-879).pdf" TargetMode="External"/><Relationship Id="rId83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2-2026%20(DC-1213).pdf" TargetMode="External"/><Relationship Id="rId102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3-2026%20(DC-1525).pdf" TargetMode="External"/><Relationship Id="rId1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4-2025%20(DC-1496).xlsx" TargetMode="External"/><Relationship Id="rId4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8-2025%20(DC-975).xlsx" TargetMode="External"/><Relationship Id="rId60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5-2025%20(DC-864).xlsx" TargetMode="External"/><Relationship Id="rId68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3-2026%20(DC-1219).pdf" TargetMode="External"/><Relationship Id="rId3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0-2025%20(DC-1524).xlsx" TargetMode="External"/><Relationship Id="rId89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3-2026%20(DC-1517).pdf" TargetMode="External"/><Relationship Id="rId90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7-2026%20(DC-12.A).pdf" TargetMode="External"/><Relationship Id="rId98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9-2026%20(DC-1069).pdf" TargetMode="External"/><Relationship Id="rId3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7-2025%20(DC-1379).xlsx" TargetMode="External"/><Relationship Id="rId5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7-2025%20(DC-1293).xlsx" TargetMode="External"/><Relationship Id="rId75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8-2026%20(DC-1327).pdf" TargetMode="External"/><Relationship Id="rId84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8_71238_71248-BN000_HYUNDAI" TargetMode="External"/><Relationship Id="rId1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5-2025%20(DC-1324).xlsx" TargetMode="External"/><Relationship Id="rId3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2-2025%20(DC-965).xlsx" TargetMode="External"/><Relationship Id="rId4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6-2025%20(DC-1149).xlsx" TargetMode="External"/><Relationship Id="rId6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7-2025%20(DC-1484).xlsx" TargetMode="External"/><Relationship Id="rId103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4-2026%20(DC-1553).pdf" TargetMode="External"/><Relationship Id="rId2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0-2025%20(DC-1002).xlsx" TargetMode="External"/><Relationship Id="rId4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0-2025%20(DC-1309).xlsx" TargetMode="External"/><Relationship Id="rId69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4-2026%20(DC-1357).pdf" TargetMode="External"/><Relationship Id="rId70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8-2026%20(DC-758).pdf" TargetMode="External"/><Relationship Id="rId91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8-2026%20(DC-851).pdf" TargetMode="External"/><Relationship Id="rId110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14-2026%20(DC-1413).pdf" TargetMode="External"/><Relationship Id="rId4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3-2025%20(DC-732).xlsx" TargetMode="External"/><Relationship Id="rId1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4-2025%20(DC-908).xlsx" TargetMode="External"/><Relationship Id="rId3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2-2025%20(DC-1099).xlsx" TargetMode="External"/><Relationship Id="rId5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1-2025%20(DC-1371).xlsx" TargetMode="External"/><Relationship Id="rId76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0_28791-BP100_HYUNDAI" TargetMode="External"/><Relationship Id="rId1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6-2025%20(DC-1532).xlsx" TargetMode="External"/><Relationship Id="rId2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7-2025%20(DC-784).xlsx" TargetMode="External"/><Relationship Id="rId4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6-2025%20(DC-1401).xlsx" TargetMode="External"/><Relationship Id="rId62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9-2026%20(DC-1272).pdf" TargetMode="External"/><Relationship Id="rId104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5-2026%20(DC-1077).pdf" TargetMode="External"/><Relationship Id="rId2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6-2025%20(DC-1512).xlsx" TargetMode="External"/><Relationship Id="rId4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1-2025%20(DC-1254).xlsx" TargetMode="External"/><Relationship Id="rId92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9-2026%20(DC-1483).pdf" TargetMode="External"/><Relationship Id="rId5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4-2025%20(DC-1248).xlsx" TargetMode="External"/><Relationship Id="rId3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18-2025%20(DC-1155).xlsx" TargetMode="External"/><Relationship Id="rId5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5-2025%20(DC-1471).xlsx" TargetMode="External"/><Relationship Id="rId77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05_69100-BN000_HYUNDAI" TargetMode="External"/><Relationship Id="rId1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5-2025%20(DC-100000054900).xlsx" TargetMode="External"/><Relationship Id="rId2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8-2025%20(DC-1121).xlsx" TargetMode="External"/><Relationship Id="rId4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9-2025%20(DC-1008).xlsx" TargetMode="External"/><Relationship Id="rId63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0-2026%20(DC-1055).pdf" TargetMode="External"/><Relationship Id="rId98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0-2026%20(DC-1417).pdf" TargetMode="External"/><Relationship Id="rId105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6-2026%20(DC-1604).pdf" TargetMode="External"/><Relationship Id="rId84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4-2026%20(DC-1215).pdf" TargetMode="External"/><Relationship Id="rId93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6-2026%20(DC-866).pdf" TargetMode="External"/><Relationship Id="rId6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8-2025%20(DC-758).xlsx" TargetMode="External"/><Relationship Id="rId2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1-2025%20(DC-1433).xlsx" TargetMode="External"/><Relationship Id="rId5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9-2025%20(DC-1316).xlsx" TargetMode="External"/><Relationship Id="rId70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9-2026%20(DC-1372).pdf" TargetMode="External"/><Relationship Id="rId1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0-2025%20(DC-1510).xlsx" TargetMode="External"/><Relationship Id="rId78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0-2026%20(DC-951).pdf" TargetMode="External"/><Relationship Id="rId99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1-2026%20(DC-1088).pdf" TargetMode="External"/><Relationship Id="rId106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0-2026%20(DC-1633).pdf" TargetMode="External"/><Relationship Id="rId4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0-2025%20(DC-1303).xlsx" TargetMode="External"/><Relationship Id="rId64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5-2026%20(DC-1591).pdf" TargetMode="External"/><Relationship Id="rId85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7_64160-BP000_HYUNDAI" TargetMode="External"/><Relationship Id="rId2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4-2025%20(DC-953).xlsx" TargetMode="External"/><Relationship Id="rId4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2-2025%20(DC-1311).xlsx" TargetMode="External"/><Relationship Id="rId5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7-2025%20(DC-22.A).xlsx" TargetMode="External"/><Relationship Id="rId71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0-2026%20(DC-1514).pdf" TargetMode="External"/><Relationship Id="rId94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7-2026%20(DC-1023).pdf" TargetMode="External"/><Relationship Id="rId7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9-2025%20(DC-1383).xlsx" TargetMode="External"/><Relationship Id="rId1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9-2025%20(DC-1116).xlsx" TargetMode="External"/><Relationship Id="rId3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4-2025%20(DC-1564).xlsx" TargetMode="External"/><Relationship Id="rId5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2-2025%20(DC-1482).xlsx" TargetMode="External"/><Relationship Id="rId79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9-2026%20(DC-1116).pdf" TargetMode="External"/><Relationship Id="rId80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3-2026%20(DC-27.A).pdf" TargetMode="External"/><Relationship Id="rId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4-2025%20(DC-1269).xlsx" TargetMode="External"/><Relationship Id="rId2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9-2025%20(DC-845).xlsx" TargetMode="External"/><Relationship Id="rId4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4-2025%20(DC-1256).xlsx" TargetMode="External"/><Relationship Id="rId65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6-2026%20(DC-1379).pdf" TargetMode="External"/><Relationship Id="rId86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56_641C3-BP000_641D4-BP000_HYUNDAI" TargetMode="External"/><Relationship Id="rId107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1-2026%20(DC-1713).pdf" TargetMode="External"/><Relationship Id="rId2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6-2025%20(DC-880).xlsx" TargetMode="External"/><Relationship Id="rId3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6-2025%20(DC-1540).xlsx" TargetMode="External"/><Relationship Id="rId5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8-2025%20(DC-1585).xlsx" TargetMode="External"/><Relationship Id="rId72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1-2026%20(DC-1236).pdf" TargetMode="External"/><Relationship Id="rId8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9-2025%20(DC-708).xlsx" TargetMode="External"/><Relationship Id="rId1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0-2025%20(DC-1575).xlsx" TargetMode="External"/><Relationship Id="rId3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0-2025%20(DC-788).xlsx" TargetMode="External"/><Relationship Id="rId5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3-2025%20(DC-870270315000).xlsx" TargetMode="External"/><Relationship Id="rId100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5-2026%20(DC-1648).pdf" TargetMode="External"/><Relationship Id="rId4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8-2025%20(DC-101.A).xlsx" TargetMode="External"/><Relationship Id="rId66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7-2026%20(DC-576).pdf" TargetMode="External"/><Relationship Id="rId87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25_67162-BN000_HYUNDAI" TargetMode="External"/><Relationship Id="rId108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2-2026%20(DC-924).pdf" TargetMode="External"/><Relationship Id="rId1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4-2025%20(DC-936).xlsx" TargetMode="External"/><Relationship Id="rId2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0-2025%20(DC-1153).xlsx" TargetMode="External"/><Relationship Id="rId3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7-2025%20(DC-1141).xlsx" TargetMode="External"/><Relationship Id="rId5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5-2025%20(DC-1441).xlsx" TargetMode="External"/><Relationship Id="rId73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0-2026%20(DC-1518).pdf" TargetMode="External"/><Relationship Id="rId94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8-2026%20(DC-1157).pdf" TargetMode="External"/><Relationship Id="rId101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6-2026%20(DC-1415).pdf" TargetMode="External"/><Relationship Id="rId1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82_52184337_52184340_GM" TargetMode="External"/><Relationship Id="rId3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1-2025%20(DC-1264).xlsx" TargetMode="External"/><Relationship Id="rId67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6-2026%20(DC-1238).pdf" TargetMode="External"/><Relationship Id="rId80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4-2026%20(DC-1523).pdf" TargetMode="External"/><Relationship Id="rId2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3-2025%20(DC-12.A).xlsx" TargetMode="External"/><Relationship Id="rId88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6-2026%20(DC-1539).pdf" TargetMode="External"/><Relationship Id="rId2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0-2025%20(DC-1361).xlsx" TargetMode="External"/><Relationship Id="rId5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8-2025%20(DC-990).xlsx" TargetMode="External"/><Relationship Id="rId74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1-2026%20(DC-903).pdf" TargetMode="External"/><Relationship Id="rId95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9-2026%20(DC-1032).pdf" TargetMode="External"/><Relationship Id="rId8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01-2025%20(DC-1465).xlsx" TargetMode="External"/><Relationship Id="rId1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8-2025%20(DC-1299).xlsx" TargetMode="External"/><Relationship Id="rId3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4-2025%20(DC-1072).xlsx" TargetMode="External"/><Relationship Id="rId5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4-2025%20(DC-100000057800).xlsx" TargetMode="External"/><Relationship Id="rId60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0-2025%20(DC-21.A).xlsx" TargetMode="External"/><Relationship Id="rId81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5-2026%20(DC-1397).pdf" TargetMode="External"/><Relationship Id="rId102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7-2026%20(DC-883).pdf" TargetMode="External"/><Relationship Id="rId2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5-2025%20(DC-1516).xlsx" TargetMode="External"/><Relationship Id="rId4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6-2025%20(DC-898).xlsx" TargetMode="External"/><Relationship Id="rId68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7-2026%20(DC-1258).pdf" TargetMode="External"/><Relationship Id="rId89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7-2026%20(DC-1577).pdf" TargetMode="External"/><Relationship Id="rId90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1-2026%20(DC-1503).pdf" TargetMode="External"/><Relationship Id="rId108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3-2026%20(DC-787).pdf" TargetMode="External"/><Relationship Id="rId3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1-2025%20(DC-1387).xlsx" TargetMode="External"/><Relationship Id="rId1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5-2025%20(DC-1118).xlsx" TargetMode="External"/><Relationship Id="rId3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8-2025%20(DC-1161).xlsx" TargetMode="External"/><Relationship Id="rId5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4-2025%20(DC-1132).xlsx" TargetMode="External"/><Relationship Id="rId75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2-2026%20(DC-100000052900).pdf" TargetMode="External"/><Relationship Id="rId96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2-2026%20(DC-1052).pdf" TargetMode="External"/><Relationship Id="rId9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1-2025%20(DC-1113).xlsx" TargetMode="External"/><Relationship Id="rId1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9-2025%20(DC-1531).xlsx" TargetMode="External"/><Relationship Id="rId3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6-2025%20(DC-1302).xlsx" TargetMode="External"/><Relationship Id="rId4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8-2025%20(DC-1557).xlsx" TargetMode="External"/><Relationship Id="rId61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2-2026%20(DC-919).pdf" TargetMode="External"/><Relationship Id="rId82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6-2026%20(DC-1301).pdf" TargetMode="External"/><Relationship Id="rId103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8-2026%20(DC-964).pdf" TargetMode="External"/><Relationship Id="rId2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6-2025%20(DC-1246).xlsx" TargetMode="External"/><Relationship Id="rId69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8-2026%20(DC-1369).pdf" TargetMode="External"/><Relationship Id="rId109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4-2026%20(DC-1130).pdf" TargetMode="External"/><Relationship Id="rId4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7-2025%20(DC-100000054201).xlsx" TargetMode="External"/><Relationship Id="rId1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8-2025%20(DC-1294).xlsx" TargetMode="External"/><Relationship Id="rId4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0-2025%20(DC-1225).xlsx" TargetMode="External"/><Relationship Id="rId5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7-2025%20(DC-943).xlsx" TargetMode="External"/><Relationship Id="rId76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1_77271-BP000%20_77281-BP000_HYUNDAI" TargetMode="External"/><Relationship Id="rId1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0-2025%20(DC-1523).xlsx" TargetMode="External"/><Relationship Id="rId3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9-2025%20(DC-1440).xlsx" TargetMode="External"/><Relationship Id="rId4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0-2025%20(DC-1427).xlsx" TargetMode="External"/><Relationship Id="rId62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3-2026%20(DC-936).pdf" TargetMode="External"/><Relationship Id="rId97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3-2026%20(DC-1402).pdf" TargetMode="External"/><Relationship Id="rId104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9-2026%20(DC-16.A).pdf" TargetMode="External"/><Relationship Id="rId83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7-2026%20(DC-1542).pdf" TargetMode="External"/><Relationship Id="rId2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3-2025%20(DC-1158).xlsx" TargetMode="External"/><Relationship Id="rId4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1-2025%20(DC-790).xlsx" TargetMode="External"/><Relationship Id="rId90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2-2026%20(DC-1029).pdf" TargetMode="External"/><Relationship Id="rId1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1-2025%20(DC-805).xlsx" TargetMode="External"/><Relationship Id="rId3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5-2025%20(DC-1443).xlsx" TargetMode="External"/><Relationship Id="rId77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0_77191-BP000_77192-BP000_HYUNDAI" TargetMode="External"/><Relationship Id="rId98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4-2026%20(DC-953).pdf" TargetMode="External"/><Relationship Id="rId63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4-2026%20(DC-1073).pdf" TargetMode="External"/><Relationship Id="rId84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8-2026%20(DC-1605).pdf" TargetMode="External"/><Relationship Id="rId2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5-2025%20(DC-1404).xlsx" TargetMode="External"/><Relationship Id="rId4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5-2025%20(DC-1200).xlsx" TargetMode="External"/><Relationship Id="rId69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9-2026%20(DC-994).pdf" TargetMode="External"/><Relationship Id="rId70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3-2026%20(DC-1465).pdf" TargetMode="External"/><Relationship Id="rId91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3-2026%20(DC-1505).pdf" TargetMode="External"/><Relationship Id="rId4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3-2025%20(DC-763).xlsx" TargetMode="External"/><Relationship Id="rId1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4-2025%20(DC-1520).xlsx" TargetMode="External"/><Relationship Id="rId3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8-2025%20(DC-1076).xlsx" TargetMode="External"/><Relationship Id="rId5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6-2025%20(DC-1135).xlsx" TargetMode="External"/><Relationship Id="rId78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4-2026%20(DC-1610).pdf" TargetMode="External"/><Relationship Id="rId99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5-2026%20(DC-1274).pdf" TargetMode="External"/><Relationship Id="rId2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7-2025%20(DC-1205).xlsx" TargetMode="External"/><Relationship Id="rId64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9-2026%20(DC-1361).pdf" TargetMode="External"/><Relationship Id="rId85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17_67138_67148-BP000_HYUNDAI" TargetMode="External"/><Relationship Id="rId104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0-2026%20(DC-970).pdf" TargetMode="External"/><Relationship Id="rId2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9-2025%20(DC-1065).xlsx" TargetMode="External"/><Relationship Id="rId4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0-2025%20(DC-1559).xlsx" TargetMode="External"/><Relationship Id="rId4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6-2025%20(DC-100000053500).xlsx" TargetMode="External"/><Relationship Id="rId5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1-2025%20(DC-116.A).xlsx" TargetMode="External"/><Relationship Id="rId71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4-2026%20(DC-699).pdf" TargetMode="External"/><Relationship Id="rId92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4-2026%20(DC-1009).pdf" TargetMode="External"/><Relationship Id="rId1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3-2025%20(DC-1214).xlsx" TargetMode="External"/><Relationship Id="rId3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8-2025%20(DC-1551).xlsx" TargetMode="External"/><Relationship Id="rId79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3-2026%20(DC-1509).pdf" TargetMode="External"/><Relationship Id="rId5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9-2025%20(DC-1107).xlsx" TargetMode="External"/><Relationship Id="rId5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0-2025%20(DC-977).xlsx" TargetMode="External"/><Relationship Id="rId65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0-2026%20(DC-1387).pdf" TargetMode="External"/><Relationship Id="rId86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8_72880-BN000_HYUNDAI" TargetMode="External"/><Relationship Id="rId2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3-2025%20(DC-858).xlsx" TargetMode="External"/><Relationship Id="rId2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2-2025%20(DC-1022).xlsx" TargetMode="External"/><Relationship Id="rId4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4-2025%20(DC-1285).xlsx" TargetMode="External"/><Relationship Id="rId5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1-2025%20(DC-1569).xlsx" TargetMode="External"/><Relationship Id="rId105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1-2026%20(DC-1574).pdf" TargetMode="External"/><Relationship Id="rId1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4-2025%20(DC-9.A).xlsx" TargetMode="External"/><Relationship Id="rId72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3-2026%20(DC-1118).pdf" TargetMode="External"/><Relationship Id="rId93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1-2026%20(DC-1626).pdf" TargetMode="External"/><Relationship Id="rId100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9-2026%20(DC-652).pdf" TargetMode="External"/><Relationship Id="rId6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2-2025%20(DC-1097).xlsx" TargetMode="External"/><Relationship Id="rId3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4-2025%20(DC-1405).xlsx" TargetMode="External"/><Relationship Id="rId5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4-2025%20(DC-1212).xlsx" TargetMode="External"/><Relationship Id="rId2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4-2025%20(DC-893).xlsx" TargetMode="External"/><Relationship Id="rId4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5-2025%20(DC-1462).xlsx" TargetMode="External"/><Relationship Id="rId87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0-2026%20(DC-400001501801).pdf" TargetMode="External"/><Relationship Id="rId106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703_241384309R_RENAULT" TargetMode="External"/><Relationship Id="rId73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4-2026%20(DC-1522).pdf" TargetMode="External"/><Relationship Id="rId94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2-2026%20(DC-880).pdf" TargetMode="External"/><Relationship Id="rId7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4-2025%20(DC-1365).xlsx" TargetMode="External"/><Relationship Id="rId1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1-2025%20(DC-1485).xlsx" TargetMode="External"/><Relationship Id="rId3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5-2025%20(DC-1429).xlsx" TargetMode="External"/><Relationship Id="rId5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7-2025%20(DC-1478).xlsx" TargetMode="External"/><Relationship Id="rId79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6-2026%20(DC-1163).pdf" TargetMode="External"/><Relationship Id="rId80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8-2026%20(DC-3.A).pdf" TargetMode="External"/><Relationship Id="rId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6-2025%20(DC-918).xlsx" TargetMode="External"/><Relationship Id="rId2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7-2025%20(DC-1503).xlsx" TargetMode="External"/><Relationship Id="rId4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9-2025%20(DC-1240).xlsx" TargetMode="External"/><Relationship Id="rId65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1-2026%20(DC-1363).pdf" TargetMode="External"/><Relationship Id="rId88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0-2026%20(DC-836).pdf" TargetMode="External"/><Relationship Id="rId107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6-2026%20(DC-1646).pdf" TargetMode="External"/><Relationship Id="rId3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9-2025%20(DC-1052).xlsx" TargetMode="External"/><Relationship Id="rId74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5-2026%20(DC-1061).pdf" TargetMode="External"/><Relationship Id="rId95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69_9870679980%20(2)_STELLANTIS" TargetMode="External"/><Relationship Id="rId8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3-2025%20(DC-1258).xlsx" TargetMode="External"/><Relationship Id="rId3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7-2025%20(DC-15.A).xlsx" TargetMode="External"/><Relationship Id="rId5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3-2025%20(DC-1534).xlsx" TargetMode="External"/><Relationship Id="rId5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8-2025%20(DC-1133).xlsx" TargetMode="External"/><Relationship Id="rId60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4-2025%20(DC-1229).xlsx" TargetMode="External"/><Relationship Id="rId81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9-2026%20(DC-1495).pdf" TargetMode="External"/><Relationship Id="rId2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9-2025%20(DC-1528).xlsx" TargetMode="External"/><Relationship Id="rId89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1-2026%20(DC-947).pdf" TargetMode="External"/><Relationship Id="rId100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0-2026%20(DC-1435).pdf" TargetMode="External"/><Relationship Id="rId108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7-2026%20(DC-1579).pdf" TargetMode="External"/><Relationship Id="rId1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0-2025%20(DC-901).xlsx" TargetMode="External"/><Relationship Id="rId4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3-2025%20(DC-1092).xlsx" TargetMode="External"/><Relationship Id="rId66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2-2026%20(DC-100000052102).pdf" TargetMode="External"/><Relationship Id="rId75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11_71198-2W00_HYUNDAI" TargetMode="External"/><Relationship Id="rId96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6-2026%20(DC-1297).pdf" TargetMode="External"/><Relationship Id="rId1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6-2025%20(DC-1273).xlsx" TargetMode="External"/><Relationship Id="rId3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2-2025%20(DC-780).xlsx" TargetMode="External"/><Relationship Id="rId3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0-2025%20(DC-1329).xlsx" TargetMode="External"/><Relationship Id="rId52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602_522719770_STELLANTIS" TargetMode="External"/><Relationship Id="rId61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6-2026%20(DC-747).pdf" TargetMode="External"/><Relationship Id="rId9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5-2025%20(DC-1236).xlsx" TargetMode="External"/><Relationship Id="rId1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6-2025%20(DC-10.A).xlsx" TargetMode="External"/><Relationship Id="rId82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0-2026%20(DC-1323).pdf" TargetMode="External"/><Relationship Id="rId101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1-2026%20(DC-1028).pdf" TargetMode="External"/><Relationship Id="rId2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3-2025%20(DC-1390).xlsx" TargetMode="External"/><Relationship Id="rId4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4-2025%20(DC-1430).xlsx" TargetMode="External"/><Relationship Id="rId67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1-2026%20(DC-731).pdf" TargetMode="External"/><Relationship Id="rId109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8-2026%20(DC-1557).pdf" TargetMode="External"/><Relationship Id="rId2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4-2025%20(DC-1054).xlsx" TargetMode="External"/><Relationship Id="rId1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2-2025%20(DC-100000052800).xlsx" TargetMode="External"/><Relationship Id="rId3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5-2025%20(DC-750).xlsx" TargetMode="External"/><Relationship Id="rId5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2-2025%20(DC-1312).xlsx" TargetMode="External"/><Relationship Id="rId97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7-2026%20(DC-1410).pdf" TargetMode="External"/><Relationship Id="rId1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3-2025%20(DC-1495).xlsx" TargetMode="External"/><Relationship Id="rId83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1-2026%20(DC-1547).pdf" TargetMode="External"/><Relationship Id="rId102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2-2026%20(DC-1524).pdf" TargetMode="External"/><Relationship Id="rId2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8-2025%20(DC-1422).xlsx" TargetMode="External"/><Relationship Id="rId4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9-2025%20(DC-840).xlsx" TargetMode="External"/><Relationship Id="rId68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2-2026%20(DC-1251).pdf" TargetMode="External"/><Relationship Id="rId89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2-2026%20(DC-1516).pdf" TargetMode="External"/><Relationship Id="rId90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6-2026%20(DC-11.A).pdf" TargetMode="External"/><Relationship Id="rId3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6-2025%20(DC-1378).xlsx" TargetMode="External"/><Relationship Id="rId1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5-2025%20(DC-1151).xlsx" TargetMode="External"/><Relationship Id="rId3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9-2025%20(DC-969).xlsx" TargetMode="External"/><Relationship Id="rId54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16-2025%20(DC-1234).xlsx" TargetMode="External"/><Relationship Id="rId98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8-2026%20(DC-1065).pdf" TargetMode="External"/><Relationship Id="rId1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4-2025%20(DC-1323).xlsx" TargetMode="External"/><Relationship Id="rId4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5-2025%20(DC-1148).xlsx" TargetMode="External"/><Relationship Id="rId75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7-2026%20(DC-1294).pdf" TargetMode="External"/><Relationship Id="rId84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2_82717_82727-BN000_HYUNDAI" TargetMode="External"/><Relationship Id="rId103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3-2026%20(DC-1551).pdf" TargetMode="External"/><Relationship Id="rId4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9-2025%20(DC-1308).xlsx" TargetMode="External"/><Relationship Id="rId6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6-2025%20(DC-1231).xlsx" TargetMode="External"/><Relationship Id="rId69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3-2026%20(DC-1125).pdf" TargetMode="External"/><Relationship Id="rId70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7-2026%20(DC-757).pdf" TargetMode="External"/><Relationship Id="rId91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7-2026%20(DC-845).pdf" TargetMode="External"/><Relationship Id="rId3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1-2025%20(DC-1086).xlsx" TargetMode="External"/><Relationship Id="rId99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9-2026%20(DC-1433).pdf" TargetMode="External"/><Relationship Id="rId110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13-2026%20(DC-1412).pdf" TargetMode="External"/><Relationship Id="rId4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2-2025%20(DC-731).xlsx" TargetMode="External"/><Relationship Id="rId5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0-2025%20(DC-1370).xlsx" TargetMode="External"/><Relationship Id="rId76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9_66930-BN000_66940-BN000_HYUNDAI" TargetMode="External"/><Relationship Id="rId85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3_66432-BN000_HYUNDAI" TargetMode="External"/><Relationship Id="rId1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5-2025%20(DC-1547).xlsx" TargetMode="External"/><Relationship Id="rId2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6-2025%20(DC-783).xlsx" TargetMode="External"/><Relationship Id="rId4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5-2025%20(DC-1259).xlsx" TargetMode="External"/><Relationship Id="rId4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0-2025%20(DC-1129).xlsx" TargetMode="External"/><Relationship Id="rId62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8-2026%20(DC-1269).pdf" TargetMode="External"/><Relationship Id="rId104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4-2026%20(DC-1076).pdf" TargetMode="External"/><Relationship Id="rId2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5-2025%20(DC-1511).xlsx" TargetMode="External"/><Relationship Id="rId71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8-2026%20(DC-1114).pdf" TargetMode="External"/><Relationship Id="rId92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8-2026%20(DC-1153).pdf" TargetMode="External"/><Relationship Id="rId5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3-2025%20(DC-1247).xlsx" TargetMode="External"/><Relationship Id="rId1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4-2025%20(DC-100000053300).xlsx" TargetMode="External"/><Relationship Id="rId3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12-2025%20(DC-917).xlsx" TargetMode="External"/><Relationship Id="rId56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4-2025%20(DC-1450).xlsx" TargetMode="External"/><Relationship Id="rId77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62_51267-0A030_51268-0A030%20KANJIKO" TargetMode="External"/><Relationship Id="rId2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7-2025%20(DC-1010).xlsx" TargetMode="External"/><Relationship Id="rId4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8-2025%20(DC-982).xlsx" TargetMode="External"/><Relationship Id="rId63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9-2026%20(DC-1054).pdf" TargetMode="External"/><Relationship Id="rId105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5-2026%20(DC-1603).pdf" TargetMode="External"/><Relationship Id="rId2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0-2025%20(DC-1428).xlsx" TargetMode="External"/><Relationship Id="rId93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5-2026%20(DC-1647).pdf" TargetMode="External"/><Relationship Id="rId6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87-2025%20(DC-757).xlsx" TargetMode="External"/><Relationship Id="rId1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9-2025%20(DC-1460).xlsx" TargetMode="External"/><Relationship Id="rId3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8-2025%20(DC-1419).xlsx" TargetMode="External"/><Relationship Id="rId5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8-2025%20(DC-1298).xlsx" TargetMode="External"/><Relationship Id="rId78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9-2026%20(DC-808).pdf" TargetMode="External"/><Relationship Id="rId99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0-2026%20(DC-1075).pdf" TargetMode="External"/><Relationship Id="rId2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0-2025%20(DC-1119).xlsx" TargetMode="External"/><Relationship Id="rId4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9-2025%20(DC-1221).xlsx" TargetMode="External"/><Relationship Id="rId64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0-2026%20(DC-1154).pdf" TargetMode="External"/><Relationship Id="rId106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9-2026%20(DC-1632).pdf" TargetMode="External"/><Relationship Id="rId85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54_64153-BN000_HYUNDAI" TargetMode="External"/><Relationship Id="rId94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6-2026%20(DC-1022).pdf" TargetMode="External"/><Relationship Id="rId7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8-2025%20(DC-1373).xlsx" TargetMode="External"/><Relationship Id="rId2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3-2025%20(DC-922).xlsx" TargetMode="External"/><Relationship Id="rId5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6-2025%20(DC-1068).xlsx" TargetMode="External"/><Relationship Id="rId58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1-2025%20(DC-1374).xlsx" TargetMode="External"/><Relationship Id="rId71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9-2026%20(DC-759).pdf" TargetMode="External"/><Relationship Id="rId80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2-2026%20(DC-10.A).pdf" TargetMode="External"/><Relationship Id="rId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3-2025%20(DC-1266).xlsx" TargetMode="External"/><Relationship Id="rId1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8-2025%20(DC-1527).xlsx" TargetMode="External"/><Relationship Id="rId4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13-2025%20(DC-1250).xlsx" TargetMode="External"/><Relationship Id="rId79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%20de%20calibra&#231;&#227;o%20699-2025%20(DC-740).xlsx" TargetMode="External"/><Relationship Id="rId107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0-2026%20(DC-1712).pdf" TargetMode="External"/><Relationship Id="rId65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5-2026%20(DC-1378).pdf" TargetMode="External"/><Relationship Id="rId86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09_69159_169-BP000_HYUNDAI" TargetMode="External"/><Relationship Id="rId95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5\Certificados%20de%20Terceiros%202025\DC_1673_522592610_STELLANTIS\AG25_EB_0091%20-%2052259261.pdf" TargetMode="External"/><Relationship Id="rId2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5-2025%20(DC-1470).xlsx" TargetMode="External"/><Relationship Id="rId3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55-2025%20(DC-1297).xlsx" TargetMode="External"/><Relationship Id="rId51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7-2025%20(DC-1536).xlsx" TargetMode="External"/><Relationship Id="rId72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0-2026%20(DC-1150).pdf" TargetMode="External"/><Relationship Id="rId8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18-2025%20(DC-699).xlsx" TargetMode="External"/><Relationship Id="rId1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9-2025%20(DC-1385).xlsx" TargetMode="External"/><Relationship Id="rId3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19-2025%20(DC-787).xlsx" TargetMode="External"/><Relationship Id="rId59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2-2025%20(DC-1507).xlsx" TargetMode="External"/><Relationship Id="rId81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3-2026%20(DC-1257).pdf" TargetMode="External"/><Relationship Id="rId100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4-2026%20(DC-1635).pdf" TargetMode="External"/><Relationship Id="rId2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9-2025%20(DC-1139).xlsx" TargetMode="External"/><Relationship Id="rId4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7-2025%20(DC-100.A).xlsx" TargetMode="External"/><Relationship Id="rId66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6-2026%20(DC-100000057300_400).pdf" TargetMode="External"/><Relationship Id="rId87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7_67121-BP000_HYUNDAI" TargetMode="External"/><Relationship Id="rId108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1-2026%20(DC-100000055900).pdf" TargetMode="External"/><Relationship Id="rId1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2-2025%20(DC-1073).xlsx" TargetMode="External"/><Relationship Id="rId3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6-2025%20(DC-1140).xlsx" TargetMode="External"/><Relationship Id="rId52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4-2025%20(DC-1261).xlsx" TargetMode="External"/><Relationship Id="rId73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9-2026%20(DC-1513).pdf" TargetMode="External"/><Relationship Id="rId9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0-2025%20(DC-1154).xlsx" TargetMode="External"/><Relationship Id="rId1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0-2025%20(DC-1400).xlsx" TargetMode="External"/><Relationship Id="rId3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0-2025%20(DC-1421).xlsx" TargetMode="External"/><Relationship Id="rId101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5-2026%20(DC-1409).pdf" TargetMode="External"/><Relationship Id="rId4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8-2025%20(DC-743).xlsx" TargetMode="External"/><Relationship Id="rId67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5-2026%20(DC-1107).pdf" TargetMode="External"/><Relationship Id="rId88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5-2026%20(DC-871_872).pdf" TargetMode="External"/><Relationship Id="rId109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12-2026%20(DC-1406).pdf" TargetMode="External"/><Relationship Id="rId2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39-2025%20(DC-1360).xlsx" TargetMode="External"/><Relationship Id="rId2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2-2025%20(DC-11.A).xlsx" TargetMode="External"/><Relationship Id="rId3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0-2025%20(DC-959).xlsx" TargetMode="External"/><Relationship Id="rId53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7-2025%20(DC-989).xlsx" TargetMode="External"/><Relationship Id="rId1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07-2025%20(DC-1257).xlsx" TargetMode="External"/><Relationship Id="rId74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0-2026%20(DC-902).pdf" TargetMode="External"/><Relationship Id="rId95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8-2026%20(DC-1027).pdf" TargetMode="External"/><Relationship Id="rId102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6-2026%20(DC-1393).pdf" TargetMode="External"/><Relationship Id="rId3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3-2025%20(DC-1064).xlsx" TargetMode="External"/><Relationship Id="rId60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89-2025%20(DC-20.A).xlsx" TargetMode="External"/><Relationship Id="rId68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66-2026%20(DC-1057).pdf" TargetMode="External"/><Relationship Id="rId81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4-2026%20(DC-1226).pdf" TargetMode="External"/><Relationship Id="rId90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0-2026%20(DC-1468).pdf" TargetMode="External"/><Relationship Id="rId2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4-2025%20(DC-863).xlsx" TargetMode="External"/><Relationship Id="rId89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26-2026%20(DC-1576).pdf" TargetMode="External"/><Relationship Id="rId3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50-2025%20(DC-1386).xlsx" TargetMode="External"/><Relationship Id="rId1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4-2025%20(DC-995).xlsx" TargetMode="External"/><Relationship Id="rId54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3-2025%20(DC-991).xlsx" TargetMode="External"/><Relationship Id="rId75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1-2026%20(DC-100000052800).pdf" TargetMode="External"/><Relationship Id="rId96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1-2026%20(DC-1616).pdf" TargetMode="External"/><Relationship Id="rId9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0-2025%20(DC-1112).xlsx" TargetMode="External"/><Relationship Id="rId1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8-2025%20(DC-1332).xlsx" TargetMode="External"/><Relationship Id="rId3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5-2025%20(DC-1095).xlsx" TargetMode="External"/><Relationship Id="rId4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67-2025%20(DC-1556).xlsx" TargetMode="External"/><Relationship Id="rId61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1-2026%20(DC-918).pdf" TargetMode="External"/><Relationship Id="rId82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5-2026%20(DC-1300).pdf" TargetMode="External"/><Relationship Id="rId103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57-2026%20(DC-958).pdf" TargetMode="External"/><Relationship Id="rId2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1-2025%20(DC-730).xlsx" TargetMode="External"/><Relationship Id="rId4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9-2025%20(DC-112.A).xlsx" TargetMode="External"/><Relationship Id="rId69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7-2026%20(DC-1368).pdf" TargetMode="External"/><Relationship Id="rId91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1-2026%20(DC-858).pdf" TargetMode="External"/><Relationship Id="rId109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3-2026%20(DC-1123).pdf" TargetMode="External"/><Relationship Id="rId4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6-2025%20(DC-10000005250120).xlsx" TargetMode="External"/><Relationship Id="rId1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47-2025%20(DC-1292).xlsx" TargetMode="External"/><Relationship Id="rId3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8-2025%20(DC-1439).xlsx" TargetMode="External"/><Relationship Id="rId55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6-2025%20(DC-930).xlsx" TargetMode="External"/><Relationship Id="rId76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9_72831-BN000_72841-BN000_HYUNDAI" TargetMode="External"/><Relationship Id="rId97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2-2026%20(DC-1512).pdf" TargetMode="External"/><Relationship Id="rId1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29-2025%20(DC-1509).xlsx" TargetMode="External"/><Relationship Id="rId4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9-2025%20(DC-1289).xlsx" TargetMode="External"/><Relationship Id="rId62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2-2026%20(DC-842).pdf" TargetMode="External"/><Relationship Id="rId83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96-2026%20(DC-1541).pdf" TargetMode="External"/><Relationship Id="rId104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8-2026%20(DC-1099).pdf" TargetMode="External"/><Relationship Id="rId2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2-2025%20(DC-1157).xlsx" TargetMode="External"/><Relationship Id="rId4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40-2025%20(DC-749).xlsx" TargetMode="External"/><Relationship Id="rId5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7-2025%20(DC-1219).xlsx" TargetMode="External"/><Relationship Id="rId1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8-2025%20(DC-775).xlsx" TargetMode="External"/><Relationship Id="rId56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47-2025%20(DC-802).xlsx" TargetMode="External"/><Relationship Id="rId77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38_72830-BN000_72840-BN000_HYUNDAI" TargetMode="External"/><Relationship Id="rId98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03-2026%20(DC-922).pdf" TargetMode="External"/><Relationship Id="rId3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84-2025%20(DC-1084).xlsx" TargetMode="External"/><Relationship Id="rId4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2-2025%20(DC-1295).xlsx" TargetMode="External"/><Relationship Id="rId63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3-2026%20(DC-1066).pdf" TargetMode="External"/><Relationship Id="rId105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705_764E27482R_RENAULT" TargetMode="External"/><Relationship Id="rId84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7-2026%20(DC-1218).pdf" TargetMode="External"/><Relationship Id="rId2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4-2025%20(DC-1403).xlsx" TargetMode="External"/><Relationship Id="rId4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4-2025%20(DC-1331).xlsx" TargetMode="External"/><Relationship Id="rId70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82-2026%20(DC-1384).pdf" TargetMode="External"/><Relationship Id="rId91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42-2026%20(DC-1504).pdf" TargetMode="External"/><Relationship Id="rId1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3-2025%20(DC-1519).xlsx" TargetMode="External"/><Relationship Id="rId3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97-2025%20(DC-1074).xlsx" TargetMode="External"/><Relationship Id="rId78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53-2026%20(DC-1152).pdf" TargetMode="External"/><Relationship Id="rId99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4-2026%20(DC-1470).pdf" TargetMode="External"/><Relationship Id="rId2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36-2025%20(DC-1204).xlsx" TargetMode="External"/><Relationship Id="rId64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28-2026%20(DC-1360).pdf" TargetMode="External"/><Relationship Id="rId85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15%20-%2067131-BP000_HYUNDAI" TargetMode="External"/><Relationship Id="rId2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28-2025%20(DC-1059).xlsx" TargetMode="External"/><Relationship Id="rId4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65-2025%20(DC-100000052201).xlsx" TargetMode="External"/><Relationship Id="rId5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80-2025%20(DC-115.A).xlsx" TargetMode="External"/><Relationship Id="rId71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3-2026%20(DC-654).pdf" TargetMode="External"/><Relationship Id="rId92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3-2026%20(DC-952).pdf" TargetMode="External"/><Relationship Id="rId5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68-2025%20(DC-100000057300_400).xlsx" TargetMode="External"/><Relationship Id="rId1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82-2025%20(DC-1213).xlsx" TargetMode="External"/><Relationship Id="rId3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7-2025%20(DC-1550).xlsx" TargetMode="External"/><Relationship Id="rId56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38-2025%20(DC-944).xlsx" TargetMode="External"/><Relationship Id="rId79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2-2026%20(DC-1508).pdf" TargetMode="External"/><Relationship Id="rId2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52-2025%20(DC-857).xlsx" TargetMode="External"/><Relationship Id="rId4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83-2025%20(DC-1206).xlsx" TargetMode="External"/><Relationship Id="rId65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39-2026%20(DC-1386).pdf" TargetMode="External"/><Relationship Id="rId86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13_69158-BN000_HYUNDAI" TargetMode="External"/><Relationship Id="rId105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0-2026%20(DC-1564).pdf" TargetMode="External"/><Relationship Id="rId2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1-2025%20(DC-1021).xlsx" TargetMode="External"/><Relationship Id="rId51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91_9857370080_9857370180_STELLANTIS" TargetMode="External"/><Relationship Id="rId72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4-2026%20(DC-1253).pdf" TargetMode="External"/><Relationship Id="rId93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60-2026%20(DC-1615).pdf" TargetMode="External"/><Relationship Id="rId1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93-2025%20(DC-6.A).xlsx" TargetMode="External"/><Relationship Id="rId3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3-2025%20(DC-1579).xlsx" TargetMode="External"/><Relationship Id="rId100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28-2026%20(DC-100000054300).pdf" TargetMode="External"/><Relationship Id="rId6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9-2025%20(DC-994).xlsx" TargetMode="External"/><Relationship Id="rId57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3-2025%20(DC-1211).xlsx" TargetMode="External"/><Relationship Id="rId66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50-2026%20(DC-730).pdf" TargetMode="External"/><Relationship Id="rId87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s%20de%20Terceiros%202026\DC_1619_65171-BP000_HYUNDAI" TargetMode="External"/><Relationship Id="rId1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28-2025%20(DC-1040).xlsx" TargetMode="External"/><Relationship Id="rId2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3-2025%20(DC-847).xlsx" TargetMode="External"/><Relationship Id="rId4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4-2025%20(DC-1461).xlsx" TargetMode="External"/><Relationship Id="rId52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9-2025%20(DC-1210).xlsx" TargetMode="External"/><Relationship Id="rId73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23-2026%20(DC-1521).pdf" TargetMode="External"/><Relationship Id="rId106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704_764E39216R_RENAULT" TargetMode="External"/><Relationship Id="rId1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s%20de%20Terceiros%202025\DC_1589_26313835_26313836_GM" TargetMode="External"/><Relationship Id="rId94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1-2026%20(DC-1020).pdf" TargetMode="External"/><Relationship Id="rId1019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9-2026%20(DC-1140).pdf" TargetMode="External"/><Relationship Id="rId7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3-2025%20(DC-1364).xlsx" TargetMode="External"/><Relationship Id="rId3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34-2025%20(DC-1426).xlsx" TargetMode="External"/><Relationship Id="rId58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66-2025%20(DC-1315).xlsx" TargetMode="External"/><Relationship Id="rId80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67-2026%20(DC-1085).pdf" TargetMode="External"/><Relationship Id="rId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05-2025%20(DC-747).xlsx" TargetMode="External"/><Relationship Id="rId2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76-2025%20(DC-1468).xlsx" TargetMode="External"/><Relationship Id="rId44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08-2025%20(DC-1144).xlsx" TargetMode="External"/><Relationship Id="rId88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19-2026%20(DC-797).pdf" TargetMode="External"/><Relationship Id="rId1072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85-2026%20(DC-1645).pdf" TargetMode="External"/><Relationship Id="rId3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47-2025%20(DC-1033).xlsx" TargetMode="External"/><Relationship Id="rId74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34-2026%20(DC-909).pdf" TargetMode="External"/><Relationship Id="rId95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s%20de%20Terceiros%202026\DC_1668_9870679980%20(1)_STELLANTIS" TargetMode="External"/><Relationship Id="rId8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09-2025%20(DC-1057).xlsx" TargetMode="External"/><Relationship Id="rId1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1-2025%20(DC-1320).xlsx" TargetMode="External"/><Relationship Id="rId3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48-2025%20(DC-17.A).xlsx" TargetMode="External"/><Relationship Id="rId59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77-2025%20(DC-1131).xlsx" TargetMode="External"/><Relationship Id="rId60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93-2025%20(DC-1227).xlsx" TargetMode="External"/><Relationship Id="rId814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8-2026%20(DC-1494).pdf" TargetMode="External"/><Relationship Id="rId2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88-2025%20(DC-1577).xlsx" TargetMode="External"/><Relationship Id="rId4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20-2025%20(DC-1018).xlsx" TargetMode="External"/><Relationship Id="rId66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41-2026%20(DC-1388).pdf" TargetMode="External"/><Relationship Id="rId89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0-2026%20(DC-893).pdf" TargetMode="External"/><Relationship Id="rId108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96-2026%20(DC-1578).pdf" TargetMode="External"/><Relationship Id="rId1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38-2025%20(DC-884).xlsx" TargetMode="External"/><Relationship Id="rId3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61-2025%20(DC-652).xlsx" TargetMode="External"/><Relationship Id="rId75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10_69114-BN000_HYUNDAI" TargetMode="External"/><Relationship Id="rId96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85-2026%20(DC-1083).pdf" TargetMode="External"/><Relationship Id="rId1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15-2025%20(DC-1272).xlsx" TargetMode="External"/><Relationship Id="rId9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24-2025%20(DC-1150).xlsx" TargetMode="External"/><Relationship Id="rId39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59-2025%20(DC-1328).xlsx" TargetMode="External"/><Relationship Id="rId52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92-2025%20(DC-1587).xlsx" TargetMode="External"/><Relationship Id="rId61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5-2026%20(DC-738).pdf" TargetMode="External"/><Relationship Id="rId82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89-2026%20(DC-1322).pdf" TargetMode="External"/><Relationship Id="rId25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92-2025%20(DC-1447).xlsx" TargetMode="External"/><Relationship Id="rId46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33-2025%20(DC-1275).xlsx" TargetMode="External"/><Relationship Id="rId1010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30-2026%20(DC-780).pdf" TargetMode="External"/><Relationship Id="rId1094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407-2026%20(DC-1556).pdf" TargetMode="External"/><Relationship Id="rId117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51-2025%20(DC-100000052700).xlsx" TargetMode="External"/><Relationship Id="rId671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12-2026%20(DC-995).pdf" TargetMode="External"/><Relationship Id="rId76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44_76196-BP000_HYUNDAI" TargetMode="External"/><Relationship Id="rId976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96-2026%20(DC-1407).pdf" TargetMode="External"/><Relationship Id="rId32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73-2025%20(DC-1415).xlsx" TargetMode="External"/><Relationship Id="rId53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01-2025%20(DC-1223).xlsx" TargetMode="External"/><Relationship Id="rId629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16-2026%20(DC-1040).pdf" TargetMode="External"/><Relationship Id="rId836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00-2026%20(DC-1545).pdf" TargetMode="External"/><Relationship Id="rId1021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41-2026%20(DC-1443).pdf" TargetMode="External"/><Relationship Id="rId90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35-2026%20(DC-1120).pdf" TargetMode="External"/><Relationship Id="rId3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45-2025%20(DC-1377).xlsx" TargetMode="External"/><Relationship Id="rId181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13-2025%20(DC-1322).xlsx" TargetMode="External"/><Relationship Id="rId27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19-2025%20(DC-1416).xlsx" TargetMode="External"/><Relationship Id="rId48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58-2025%20(DC-1307).xlsx" TargetMode="External"/><Relationship Id="rId693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72-2026%20(DC-1097).pdf" TargetMode="External"/><Relationship Id="rId139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77-2025%20(DC-1526).xlsx" TargetMode="External"/><Relationship Id="rId34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00-2025%20(DC-1078).xlsx" TargetMode="External"/><Relationship Id="rId55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29-2025%20(DC-1147).xlsx" TargetMode="External"/><Relationship Id="rId76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26_67141-BN000_HYUNDAI" TargetMode="External"/><Relationship Id="rId998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18-2026%20(DC-1428).pdf" TargetMode="External"/><Relationship Id="rId20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43-2025%20(DC-1548).xlsx" TargetMode="External"/><Relationship Id="rId413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74-2025%20(DC-1106).xlsx" TargetMode="External"/><Relationship Id="rId85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5\Certificados%20de%20Terceiros%202025\DC_1608_69156_69166-BP000_HYUNDAI" TargetMode="External"/><Relationship Id="rId1043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63-2026%20(DC-1074).pdf" TargetMode="External"/><Relationship Id="rId620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07-2026%20(DC-1266).pdf" TargetMode="External"/><Relationship Id="rId718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097-2026%20(DC-1113).pdf" TargetMode="External"/><Relationship Id="rId925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257-2026%20(DC-1139).pdf" TargetMode="External"/><Relationship Id="rId54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72-2025%20(DC-1245).xlsx" TargetMode="External"/><Relationship Id="rId27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09-2025%20(DC-1423).xlsx" TargetMode="External"/><Relationship Id="rId130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166-2025%20(DC-1152).xlsx" TargetMode="External"/><Relationship Id="rId36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27-2025%20(DC-1413).xlsx" TargetMode="External"/><Relationship Id="rId57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657-2025%20(DC-1270).xlsx" TargetMode="External"/><Relationship Id="rId78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48-2026%20(DC-805).pdf" TargetMode="External"/><Relationship Id="rId228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269-2025%20(DC-1062).xlsx" TargetMode="External"/><Relationship Id="rId435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498-2025%20(DC-1220).xlsx" TargetMode="External"/><Relationship Id="rId642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09-2026%20(DC-955).pdf" TargetMode="External"/><Relationship Id="rId1065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378-2026%20(DC-1612).pdf" TargetMode="External"/><Relationship Id="rId50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575-2025%20(DC-1000).xlsx" TargetMode="External"/><Relationship Id="rId947" Type="http://schemas.openxmlformats.org/officeDocument/2006/relationships/hyperlink" Target="file:///\\dados-ieb\arquivos$\metrologia\3%20-%20Usu&#225;rios\Anthonio%20Cesar\2%20-%20Certificados%20de%20Calibra&#231;&#227;o%20(Dispositivos)\Certificados%20de%20Calibra&#231;&#227;o%202026\Certificado%20de%20calibra&#231;&#227;o%20275-2026%20(DC-1021).pdf" TargetMode="External"/><Relationship Id="rId76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097-2025%20(DC-1372).xlsx" TargetMode="External"/><Relationship Id="rId807" Type="http://schemas.openxmlformats.org/officeDocument/2006/relationships/hyperlink" Target="file:///\\dados-ieb\arquivos$\metrologia\3%20-%20Usu&#225;rios\Anthonio%20Cesar\AppData\Roaming\Microsoft\2%20-%20Certificados%20de%20Calibra&#231;&#227;o%20(Dispositivos)\Certificados%20de%20Calibra&#231;&#227;o%202026\Certificado%20de%20calibra&#231;&#227;o%20171-2026%20(DC-9.B).pdf" TargetMode="External"/><Relationship Id="rId292" Type="http://schemas.openxmlformats.org/officeDocument/2006/relationships/hyperlink" Target="file:///\\dados-ieb\arquivos$\metrologia\3%20-%20Usu&#225;rios\Anthonio%20Cesar\AppData\Roaming\Microsoft\2%20-%20Certificados%20de%20Calibra&#231;&#227;o\Certificados%20de%20Calibra&#231;&#227;o%202025\Certificado%20de%20calibra&#231;&#227;o%20334-2025%20(DC-1469)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rgb="FFEB2500"/>
    <pageSetUpPr fitToPage="1"/>
  </sheetPr>
  <dimension ref="A1:AC1430"/>
  <sheetViews>
    <sheetView tabSelected="1" zoomScaleNormal="100" zoomScaleSheetLayoutView="100" workbookViewId="0">
      <pane ySplit="2" topLeftCell="A3" activePane="bottomLeft" state="frozen"/>
      <selection pane="bottomLeft" activeCell="D757" sqref="D757"/>
    </sheetView>
  </sheetViews>
  <sheetFormatPr defaultColWidth="9.28515625" defaultRowHeight="17.100000000000001" customHeight="1"/>
  <cols>
    <col min="1" max="1" width="22.7109375" style="93" customWidth="1"/>
    <col min="2" max="2" width="25.7109375" style="1" hidden="1" customWidth="1"/>
    <col min="3" max="3" width="15.7109375" style="4" customWidth="1"/>
    <col min="4" max="4" width="40.7109375" style="8" customWidth="1"/>
    <col min="5" max="5" width="15.7109375" style="4" hidden="1" customWidth="1"/>
    <col min="6" max="6" width="15.7109375" style="4" customWidth="1"/>
    <col min="7" max="7" width="15.7109375" style="11" hidden="1" customWidth="1"/>
    <col min="8" max="8" width="20.7109375" style="11" hidden="1" customWidth="1"/>
    <col min="9" max="10" width="15.7109375" style="11" customWidth="1"/>
    <col min="11" max="11" width="18.7109375" style="4" customWidth="1"/>
    <col min="12" max="12" width="16.7109375" style="4" customWidth="1"/>
    <col min="13" max="13" width="10.7109375" style="1" customWidth="1"/>
    <col min="14" max="16384" width="9.28515625" style="1"/>
  </cols>
  <sheetData>
    <row r="1" spans="1:29" ht="54" customHeight="1">
      <c r="A1" s="94" t="s">
        <v>1643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72">
        <f ca="1">TODAY()</f>
        <v>46258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9" s="3" customFormat="1" ht="44.65" customHeight="1">
      <c r="A2" s="19" t="s">
        <v>107</v>
      </c>
      <c r="B2" s="18" t="s">
        <v>0</v>
      </c>
      <c r="C2" s="18" t="s">
        <v>5</v>
      </c>
      <c r="D2" s="19" t="s">
        <v>1</v>
      </c>
      <c r="E2" s="19" t="s">
        <v>1166</v>
      </c>
      <c r="F2" s="19" t="s">
        <v>2</v>
      </c>
      <c r="G2" s="19" t="s">
        <v>2064</v>
      </c>
      <c r="H2" s="19" t="s">
        <v>1502</v>
      </c>
      <c r="I2" s="19" t="s">
        <v>989</v>
      </c>
      <c r="J2" s="19" t="s">
        <v>1646</v>
      </c>
      <c r="K2" s="18" t="s">
        <v>3</v>
      </c>
      <c r="L2" s="18" t="s">
        <v>4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5" hidden="1" customHeight="1">
      <c r="A3" s="21" t="s">
        <v>904</v>
      </c>
      <c r="B3" s="5" t="s">
        <v>1506</v>
      </c>
      <c r="C3" s="42" t="s">
        <v>7</v>
      </c>
      <c r="D3" s="59" t="s">
        <v>903</v>
      </c>
      <c r="E3" s="6">
        <v>46002</v>
      </c>
      <c r="F3" s="91">
        <f>EOMONTH(E3,12)</f>
        <v>46387</v>
      </c>
      <c r="G3" s="78"/>
      <c r="H3" s="78"/>
      <c r="I3" s="16" t="s">
        <v>1620</v>
      </c>
      <c r="J3" s="16"/>
      <c r="K3" s="5" t="s">
        <v>6</v>
      </c>
      <c r="L3" s="10" t="str">
        <f t="shared" ref="L3:L66" ca="1" si="0">IF(K3="TERCEIRO","TERCEIRO",IF(K3="EM MODIF.","EM MODIF.",IF(K3="INATIVO","INATIVO",IF($E3="","Desenvolvimento",IF($F3&lt;$M$1,"Atrasado","Calibrado")))))</f>
        <v>Calibrado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ht="15" hidden="1" customHeight="1">
      <c r="A4" s="21" t="s">
        <v>310</v>
      </c>
      <c r="B4" s="5" t="s">
        <v>1506</v>
      </c>
      <c r="C4" s="42" t="s">
        <v>7</v>
      </c>
      <c r="D4" s="9">
        <v>94757366</v>
      </c>
      <c r="E4" s="6">
        <v>46104</v>
      </c>
      <c r="F4" s="91">
        <f t="shared" ref="F4:F12" si="1">EOMONTH(E4,12)</f>
        <v>46477</v>
      </c>
      <c r="G4" s="80" t="s">
        <v>2063</v>
      </c>
      <c r="H4" s="80"/>
      <c r="I4" s="16" t="s">
        <v>1119</v>
      </c>
      <c r="J4" s="16" t="s">
        <v>1838</v>
      </c>
      <c r="K4" s="5" t="s">
        <v>6</v>
      </c>
      <c r="L4" s="10" t="str">
        <f t="shared" ca="1" si="0"/>
        <v>Calibrado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9" ht="15" hidden="1" customHeight="1">
      <c r="A5" s="21" t="s">
        <v>143</v>
      </c>
      <c r="B5" s="5" t="s">
        <v>1506</v>
      </c>
      <c r="C5" s="42" t="s">
        <v>7</v>
      </c>
      <c r="D5" s="9" t="s">
        <v>1039</v>
      </c>
      <c r="E5" s="6">
        <v>46044</v>
      </c>
      <c r="F5" s="91">
        <f t="shared" si="1"/>
        <v>46418</v>
      </c>
      <c r="G5" s="78"/>
      <c r="H5" s="78" t="s">
        <v>2066</v>
      </c>
      <c r="I5" s="16" t="s">
        <v>1040</v>
      </c>
      <c r="J5" s="16" t="s">
        <v>1688</v>
      </c>
      <c r="K5" s="5" t="s">
        <v>6</v>
      </c>
      <c r="L5" s="10" t="str">
        <f t="shared" ca="1" si="0"/>
        <v>Calibrado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9" ht="15" hidden="1" customHeight="1">
      <c r="A6" s="21" t="s">
        <v>358</v>
      </c>
      <c r="B6" s="5" t="s">
        <v>1506</v>
      </c>
      <c r="C6" s="42" t="s">
        <v>7</v>
      </c>
      <c r="D6" s="9" t="s">
        <v>889</v>
      </c>
      <c r="E6" s="6">
        <v>45948</v>
      </c>
      <c r="F6" s="91">
        <f t="shared" si="1"/>
        <v>46326</v>
      </c>
      <c r="G6" s="80" t="s">
        <v>2062</v>
      </c>
      <c r="H6" s="80"/>
      <c r="I6" s="16" t="s">
        <v>1523</v>
      </c>
      <c r="J6" s="16"/>
      <c r="K6" s="5" t="s">
        <v>6</v>
      </c>
      <c r="L6" s="10" t="str">
        <f t="shared" ca="1" si="0"/>
        <v>Calibrado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9" ht="15" hidden="1" customHeight="1">
      <c r="A7" s="21" t="s">
        <v>142</v>
      </c>
      <c r="B7" s="5" t="s">
        <v>1506</v>
      </c>
      <c r="C7" s="42" t="s">
        <v>7</v>
      </c>
      <c r="D7" s="9" t="s">
        <v>890</v>
      </c>
      <c r="E7" s="6">
        <v>46044</v>
      </c>
      <c r="F7" s="91">
        <f t="shared" si="1"/>
        <v>46418</v>
      </c>
      <c r="G7" s="78"/>
      <c r="H7" s="78" t="s">
        <v>2066</v>
      </c>
      <c r="I7" s="16" t="s">
        <v>1041</v>
      </c>
      <c r="J7" s="16" t="s">
        <v>1689</v>
      </c>
      <c r="K7" s="5" t="s">
        <v>6</v>
      </c>
      <c r="L7" s="10" t="str">
        <f t="shared" ca="1" si="0"/>
        <v>Calibrado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9" ht="15" hidden="1" customHeight="1">
      <c r="A8" s="21" t="s">
        <v>141</v>
      </c>
      <c r="B8" s="5" t="s">
        <v>1506</v>
      </c>
      <c r="C8" s="42" t="s">
        <v>7</v>
      </c>
      <c r="D8" s="9">
        <v>52166603</v>
      </c>
      <c r="E8" s="6">
        <v>46044</v>
      </c>
      <c r="F8" s="91">
        <f t="shared" si="1"/>
        <v>46418</v>
      </c>
      <c r="G8" s="78"/>
      <c r="H8" s="78" t="s">
        <v>2066</v>
      </c>
      <c r="I8" s="16" t="s">
        <v>1042</v>
      </c>
      <c r="J8" s="16" t="s">
        <v>1690</v>
      </c>
      <c r="K8" s="5" t="s">
        <v>6</v>
      </c>
      <c r="L8" s="10" t="str">
        <f t="shared" ca="1" si="0"/>
        <v>Calibrado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9" ht="15" hidden="1" customHeight="1">
      <c r="A9" s="21" t="s">
        <v>308</v>
      </c>
      <c r="B9" s="5" t="s">
        <v>1506</v>
      </c>
      <c r="C9" s="42" t="s">
        <v>7</v>
      </c>
      <c r="D9" s="9">
        <v>39112277</v>
      </c>
      <c r="E9" s="6">
        <v>46105</v>
      </c>
      <c r="F9" s="91">
        <f t="shared" si="1"/>
        <v>46477</v>
      </c>
      <c r="G9" s="80" t="s">
        <v>2063</v>
      </c>
      <c r="H9" s="80"/>
      <c r="I9" s="16" t="s">
        <v>1120</v>
      </c>
      <c r="J9" s="16" t="s">
        <v>1839</v>
      </c>
      <c r="K9" s="5" t="s">
        <v>6</v>
      </c>
      <c r="L9" s="10" t="str">
        <f t="shared" ca="1" si="0"/>
        <v>Calibrado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9" ht="15" hidden="1" customHeight="1">
      <c r="A10" s="21" t="s">
        <v>307</v>
      </c>
      <c r="B10" s="5" t="s">
        <v>1506</v>
      </c>
      <c r="C10" s="42" t="s">
        <v>7</v>
      </c>
      <c r="D10" s="9">
        <v>39112278</v>
      </c>
      <c r="E10" s="6">
        <v>46105</v>
      </c>
      <c r="F10" s="91">
        <f t="shared" si="1"/>
        <v>46477</v>
      </c>
      <c r="G10" s="80" t="s">
        <v>2063</v>
      </c>
      <c r="H10" s="80"/>
      <c r="I10" s="16" t="s">
        <v>1121</v>
      </c>
      <c r="J10" s="16" t="s">
        <v>1840</v>
      </c>
      <c r="K10" s="5" t="s">
        <v>6</v>
      </c>
      <c r="L10" s="10" t="str">
        <f t="shared" ca="1" si="0"/>
        <v>Calibrado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9" ht="15" hidden="1" customHeight="1">
      <c r="A11" s="21" t="s">
        <v>309</v>
      </c>
      <c r="B11" s="5" t="s">
        <v>1506</v>
      </c>
      <c r="C11" s="42" t="s">
        <v>7</v>
      </c>
      <c r="D11" s="9" t="s">
        <v>891</v>
      </c>
      <c r="E11" s="6">
        <v>46106</v>
      </c>
      <c r="F11" s="91">
        <f t="shared" si="1"/>
        <v>46477</v>
      </c>
      <c r="G11" s="80" t="s">
        <v>2063</v>
      </c>
      <c r="H11" s="80"/>
      <c r="I11" s="16" t="s">
        <v>1122</v>
      </c>
      <c r="J11" s="16" t="s">
        <v>1841</v>
      </c>
      <c r="K11" s="5" t="s">
        <v>6</v>
      </c>
      <c r="L11" s="10" t="str">
        <f t="shared" ca="1" si="0"/>
        <v>Calibrado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9" ht="15" hidden="1" customHeight="1">
      <c r="A12" s="21" t="s">
        <v>905</v>
      </c>
      <c r="B12" s="5" t="s">
        <v>1506</v>
      </c>
      <c r="C12" s="42" t="s">
        <v>7</v>
      </c>
      <c r="D12" s="59" t="s">
        <v>892</v>
      </c>
      <c r="E12" s="6">
        <v>45976</v>
      </c>
      <c r="F12" s="91">
        <f t="shared" si="1"/>
        <v>46356</v>
      </c>
      <c r="G12" s="78"/>
      <c r="H12" s="78"/>
      <c r="I12" s="16" t="s">
        <v>1576</v>
      </c>
      <c r="J12" s="16"/>
      <c r="K12" s="5" t="s">
        <v>6</v>
      </c>
      <c r="L12" s="10" t="str">
        <f t="shared" ca="1" si="0"/>
        <v>Calibrado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9" ht="15" hidden="1" customHeight="1">
      <c r="A13" s="21" t="s">
        <v>306</v>
      </c>
      <c r="B13" s="5" t="s">
        <v>1506</v>
      </c>
      <c r="C13" s="42" t="s">
        <v>7</v>
      </c>
      <c r="D13" s="9" t="s">
        <v>893</v>
      </c>
      <c r="E13" s="6">
        <v>46106</v>
      </c>
      <c r="F13" s="91">
        <f t="shared" ref="F13:F22" si="2">EOMONTH(E13,12)</f>
        <v>46477</v>
      </c>
      <c r="G13" s="80" t="s">
        <v>2063</v>
      </c>
      <c r="H13" s="80"/>
      <c r="I13" s="16" t="s">
        <v>1123</v>
      </c>
      <c r="J13" s="16" t="s">
        <v>1842</v>
      </c>
      <c r="K13" s="5" t="s">
        <v>6</v>
      </c>
      <c r="L13" s="10" t="str">
        <f t="shared" ca="1" si="0"/>
        <v>Calibrado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9" ht="15" hidden="1" customHeight="1">
      <c r="A14" s="21" t="s">
        <v>305</v>
      </c>
      <c r="B14" s="5" t="s">
        <v>1506</v>
      </c>
      <c r="C14" s="42" t="s">
        <v>7</v>
      </c>
      <c r="D14" s="9">
        <v>84118021</v>
      </c>
      <c r="E14" s="6">
        <v>45948</v>
      </c>
      <c r="F14" s="91">
        <f t="shared" si="2"/>
        <v>46326</v>
      </c>
      <c r="G14" s="80" t="s">
        <v>2063</v>
      </c>
      <c r="H14" s="80"/>
      <c r="I14" s="16" t="s">
        <v>1524</v>
      </c>
      <c r="J14" s="16"/>
      <c r="K14" s="5" t="s">
        <v>6</v>
      </c>
      <c r="L14" s="10" t="str">
        <f t="shared" ca="1" si="0"/>
        <v>Calibrado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9" ht="15" hidden="1" customHeight="1">
      <c r="A15" s="21" t="s">
        <v>140</v>
      </c>
      <c r="B15" s="5" t="s">
        <v>1506</v>
      </c>
      <c r="C15" s="42" t="s">
        <v>7</v>
      </c>
      <c r="D15" s="9" t="s">
        <v>894</v>
      </c>
      <c r="E15" s="6">
        <v>46045</v>
      </c>
      <c r="F15" s="91">
        <f t="shared" si="2"/>
        <v>46418</v>
      </c>
      <c r="G15" s="78"/>
      <c r="H15" s="78" t="s">
        <v>2066</v>
      </c>
      <c r="I15" s="16" t="s">
        <v>1043</v>
      </c>
      <c r="J15" s="16" t="s">
        <v>1691</v>
      </c>
      <c r="K15" s="5" t="s">
        <v>6</v>
      </c>
      <c r="L15" s="10" t="str">
        <f t="shared" ca="1" si="0"/>
        <v>Calibrado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9" ht="15" hidden="1" customHeight="1">
      <c r="A16" s="20" t="s">
        <v>125</v>
      </c>
      <c r="B16" s="5" t="s">
        <v>1506</v>
      </c>
      <c r="C16" s="42" t="s">
        <v>7</v>
      </c>
      <c r="D16" s="9">
        <v>26312793</v>
      </c>
      <c r="E16" s="6">
        <v>46204</v>
      </c>
      <c r="F16" s="91">
        <f t="shared" si="2"/>
        <v>46599</v>
      </c>
      <c r="G16" s="80" t="s">
        <v>2063</v>
      </c>
      <c r="H16" s="80" t="s">
        <v>2066</v>
      </c>
      <c r="I16" s="16" t="s">
        <v>1335</v>
      </c>
      <c r="J16" s="16" t="s">
        <v>2052</v>
      </c>
      <c r="K16" s="5" t="s">
        <v>6</v>
      </c>
      <c r="L16" s="10" t="str">
        <f t="shared" ca="1" si="0"/>
        <v>Calibrado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" hidden="1" customHeight="1">
      <c r="A17" s="20" t="s">
        <v>895</v>
      </c>
      <c r="B17" s="5" t="s">
        <v>1506</v>
      </c>
      <c r="C17" s="42" t="s">
        <v>7</v>
      </c>
      <c r="D17" s="9" t="s">
        <v>926</v>
      </c>
      <c r="E17" s="6">
        <v>46107</v>
      </c>
      <c r="F17" s="91">
        <f t="shared" si="2"/>
        <v>46477</v>
      </c>
      <c r="G17" s="80" t="s">
        <v>2063</v>
      </c>
      <c r="H17" s="80"/>
      <c r="I17" s="16" t="s">
        <v>1124</v>
      </c>
      <c r="J17" s="16" t="s">
        <v>1846</v>
      </c>
      <c r="K17" s="5" t="s">
        <v>6</v>
      </c>
      <c r="L17" s="10" t="str">
        <f t="shared" ca="1" si="0"/>
        <v>Calibrado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" hidden="1" customHeight="1">
      <c r="A18" s="20" t="s">
        <v>122</v>
      </c>
      <c r="B18" s="5" t="s">
        <v>1506</v>
      </c>
      <c r="C18" s="42" t="s">
        <v>7</v>
      </c>
      <c r="D18" s="9" t="s">
        <v>896</v>
      </c>
      <c r="E18" s="6">
        <v>45916</v>
      </c>
      <c r="F18" s="91">
        <f t="shared" si="2"/>
        <v>46295</v>
      </c>
      <c r="G18" s="80" t="s">
        <v>2062</v>
      </c>
      <c r="H18" s="80"/>
      <c r="I18" s="16" t="s">
        <v>1466</v>
      </c>
      <c r="J18" s="16"/>
      <c r="K18" s="5" t="s">
        <v>6</v>
      </c>
      <c r="L18" s="10" t="str">
        <f t="shared" ca="1" si="0"/>
        <v>Calibrado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" hidden="1" customHeight="1">
      <c r="A19" s="21" t="s">
        <v>297</v>
      </c>
      <c r="B19" s="5" t="s">
        <v>1506</v>
      </c>
      <c r="C19" s="42" t="s">
        <v>7</v>
      </c>
      <c r="D19" s="9" t="s">
        <v>897</v>
      </c>
      <c r="E19" s="6">
        <v>45950</v>
      </c>
      <c r="F19" s="91">
        <f t="shared" si="2"/>
        <v>46326</v>
      </c>
      <c r="G19" s="80" t="s">
        <v>2062</v>
      </c>
      <c r="H19" s="80"/>
      <c r="I19" s="16" t="s">
        <v>1525</v>
      </c>
      <c r="J19" s="16"/>
      <c r="K19" s="5" t="s">
        <v>6</v>
      </c>
      <c r="L19" s="10" t="str">
        <f t="shared" ca="1" si="0"/>
        <v>Calibrado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" hidden="1" customHeight="1">
      <c r="A20" s="21" t="s">
        <v>295</v>
      </c>
      <c r="B20" s="5" t="s">
        <v>1506</v>
      </c>
      <c r="C20" s="42" t="s">
        <v>7</v>
      </c>
      <c r="D20" s="9" t="s">
        <v>964</v>
      </c>
      <c r="E20" s="6">
        <v>45976</v>
      </c>
      <c r="F20" s="91">
        <f t="shared" si="2"/>
        <v>46356</v>
      </c>
      <c r="G20" s="80"/>
      <c r="H20" s="80"/>
      <c r="I20" s="16" t="s">
        <v>1577</v>
      </c>
      <c r="J20" s="16"/>
      <c r="K20" s="5" t="s">
        <v>6</v>
      </c>
      <c r="L20" s="10" t="str">
        <f t="shared" ca="1" si="0"/>
        <v>Calibrado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" hidden="1" customHeight="1">
      <c r="A21" s="20" t="s">
        <v>123</v>
      </c>
      <c r="B21" s="5" t="s">
        <v>1506</v>
      </c>
      <c r="C21" s="42" t="s">
        <v>7</v>
      </c>
      <c r="D21" s="9" t="s">
        <v>2178</v>
      </c>
      <c r="E21" s="6">
        <v>46241</v>
      </c>
      <c r="F21" s="91">
        <f t="shared" si="2"/>
        <v>46630</v>
      </c>
      <c r="G21" s="80"/>
      <c r="H21" s="80" t="s">
        <v>2066</v>
      </c>
      <c r="I21" s="16" t="s">
        <v>1424</v>
      </c>
      <c r="J21" s="16" t="s">
        <v>2179</v>
      </c>
      <c r="K21" s="5" t="s">
        <v>6</v>
      </c>
      <c r="L21" s="10" t="str">
        <f t="shared" ca="1" si="0"/>
        <v>Calibrado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" hidden="1" customHeight="1">
      <c r="A22" s="21" t="s">
        <v>296</v>
      </c>
      <c r="B22" s="5" t="s">
        <v>1506</v>
      </c>
      <c r="C22" s="41" t="s">
        <v>898</v>
      </c>
      <c r="D22" s="9" t="s">
        <v>505</v>
      </c>
      <c r="E22" s="6">
        <v>45962</v>
      </c>
      <c r="F22" s="91">
        <f t="shared" si="2"/>
        <v>46356</v>
      </c>
      <c r="G22" s="80"/>
      <c r="H22" s="80"/>
      <c r="I22" s="16" t="s">
        <v>1555</v>
      </c>
      <c r="J22" s="16"/>
      <c r="K22" s="5" t="s">
        <v>6</v>
      </c>
      <c r="L22" s="10" t="str">
        <f t="shared" ca="1" si="0"/>
        <v>Calibrado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" hidden="1" customHeight="1">
      <c r="A23" s="21" t="s">
        <v>292</v>
      </c>
      <c r="B23" s="5" t="s">
        <v>1506</v>
      </c>
      <c r="C23" s="42" t="s">
        <v>7</v>
      </c>
      <c r="D23" s="9" t="s">
        <v>899</v>
      </c>
      <c r="E23" s="6">
        <v>46107</v>
      </c>
      <c r="F23" s="91">
        <f t="shared" ref="F23:F31" si="3">EOMONTH(E23,12)</f>
        <v>46477</v>
      </c>
      <c r="G23" s="80" t="s">
        <v>2063</v>
      </c>
      <c r="H23" s="80"/>
      <c r="I23" s="16" t="s">
        <v>1125</v>
      </c>
      <c r="J23" s="16" t="s">
        <v>1847</v>
      </c>
      <c r="K23" s="5" t="s">
        <v>6</v>
      </c>
      <c r="L23" s="10" t="str">
        <f t="shared" ca="1" si="0"/>
        <v>Calibrado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" hidden="1" customHeight="1">
      <c r="A24" s="21" t="s">
        <v>902</v>
      </c>
      <c r="B24" s="5" t="s">
        <v>1506</v>
      </c>
      <c r="C24" s="42" t="s">
        <v>7</v>
      </c>
      <c r="D24" s="9" t="s">
        <v>1044</v>
      </c>
      <c r="E24" s="6">
        <v>46045</v>
      </c>
      <c r="F24" s="91">
        <f t="shared" si="3"/>
        <v>46418</v>
      </c>
      <c r="G24" s="80"/>
      <c r="H24" s="78" t="s">
        <v>2066</v>
      </c>
      <c r="I24" s="16" t="s">
        <v>1045</v>
      </c>
      <c r="J24" s="16" t="s">
        <v>1692</v>
      </c>
      <c r="K24" s="5" t="s">
        <v>6</v>
      </c>
      <c r="L24" s="10" t="str">
        <f t="shared" ca="1" si="0"/>
        <v>Calibrado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" hidden="1" customHeight="1">
      <c r="A25" s="21" t="s">
        <v>294</v>
      </c>
      <c r="B25" s="5" t="s">
        <v>1506</v>
      </c>
      <c r="C25" s="42" t="s">
        <v>7</v>
      </c>
      <c r="D25" s="9" t="s">
        <v>900</v>
      </c>
      <c r="E25" s="6">
        <v>45950</v>
      </c>
      <c r="F25" s="91">
        <f t="shared" si="3"/>
        <v>46326</v>
      </c>
      <c r="G25" s="80" t="s">
        <v>2063</v>
      </c>
      <c r="H25" s="80"/>
      <c r="I25" s="16" t="s">
        <v>1526</v>
      </c>
      <c r="J25" s="16"/>
      <c r="K25" s="5" t="s">
        <v>6</v>
      </c>
      <c r="L25" s="10" t="str">
        <f t="shared" ca="1" si="0"/>
        <v>Calibrado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" hidden="1" customHeight="1">
      <c r="A26" s="21" t="s">
        <v>293</v>
      </c>
      <c r="B26" s="5" t="s">
        <v>1506</v>
      </c>
      <c r="C26" s="42" t="s">
        <v>7</v>
      </c>
      <c r="D26" s="9" t="s">
        <v>901</v>
      </c>
      <c r="E26" s="6">
        <v>46002</v>
      </c>
      <c r="F26" s="91">
        <f t="shared" si="3"/>
        <v>46387</v>
      </c>
      <c r="G26" s="80"/>
      <c r="H26" s="80"/>
      <c r="I26" s="16" t="s">
        <v>1621</v>
      </c>
      <c r="J26" s="16"/>
      <c r="K26" s="5" t="s">
        <v>6</v>
      </c>
      <c r="L26" s="10" t="str">
        <f t="shared" ca="1" si="0"/>
        <v>Calibrado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" hidden="1" customHeight="1">
      <c r="A27" s="21" t="s">
        <v>300</v>
      </c>
      <c r="B27" s="5" t="s">
        <v>1506</v>
      </c>
      <c r="C27" s="30" t="s">
        <v>35</v>
      </c>
      <c r="D27" s="9" t="s">
        <v>634</v>
      </c>
      <c r="E27" s="6">
        <v>46147</v>
      </c>
      <c r="F27" s="91">
        <f t="shared" si="3"/>
        <v>46538</v>
      </c>
      <c r="G27" s="80"/>
      <c r="H27" s="80"/>
      <c r="I27" s="16" t="s">
        <v>1213</v>
      </c>
      <c r="J27" s="16" t="s">
        <v>1921</v>
      </c>
      <c r="K27" s="5" t="s">
        <v>6</v>
      </c>
      <c r="L27" s="10" t="str">
        <f t="shared" ca="1" si="0"/>
        <v>Calibrado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" hidden="1" customHeight="1">
      <c r="A28" s="20" t="s">
        <v>126</v>
      </c>
      <c r="B28" s="5" t="s">
        <v>1506</v>
      </c>
      <c r="C28" s="30" t="s">
        <v>35</v>
      </c>
      <c r="D28" s="9" t="s">
        <v>566</v>
      </c>
      <c r="E28" s="6">
        <v>45901</v>
      </c>
      <c r="F28" s="91">
        <f t="shared" si="3"/>
        <v>46295</v>
      </c>
      <c r="G28" s="80" t="s">
        <v>2062</v>
      </c>
      <c r="H28" s="80"/>
      <c r="I28" s="16" t="s">
        <v>1436</v>
      </c>
      <c r="J28" s="16"/>
      <c r="K28" s="5" t="s">
        <v>6</v>
      </c>
      <c r="L28" s="10" t="str">
        <f t="shared" ca="1" si="0"/>
        <v>Calibrado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" hidden="1" customHeight="1">
      <c r="A29" s="20" t="s">
        <v>568</v>
      </c>
      <c r="B29" s="5" t="s">
        <v>1506</v>
      </c>
      <c r="C29" s="30" t="s">
        <v>35</v>
      </c>
      <c r="D29" s="9" t="s">
        <v>567</v>
      </c>
      <c r="E29" s="6">
        <v>45901</v>
      </c>
      <c r="F29" s="91">
        <f t="shared" si="3"/>
        <v>46295</v>
      </c>
      <c r="G29" s="80" t="s">
        <v>2062</v>
      </c>
      <c r="H29" s="80"/>
      <c r="I29" s="16" t="s">
        <v>1437</v>
      </c>
      <c r="J29" s="16"/>
      <c r="K29" s="5" t="s">
        <v>6</v>
      </c>
      <c r="L29" s="10" t="str">
        <f t="shared" ca="1" si="0"/>
        <v>Calibrado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" hidden="1" customHeight="1">
      <c r="A30" s="20" t="s">
        <v>298</v>
      </c>
      <c r="B30" s="5" t="s">
        <v>1506</v>
      </c>
      <c r="C30" s="32" t="s">
        <v>494</v>
      </c>
      <c r="D30" s="9" t="s">
        <v>36</v>
      </c>
      <c r="E30" s="6">
        <v>46147</v>
      </c>
      <c r="F30" s="91">
        <f t="shared" si="3"/>
        <v>46538</v>
      </c>
      <c r="G30" s="80"/>
      <c r="H30" s="80"/>
      <c r="I30" s="16" t="s">
        <v>1212</v>
      </c>
      <c r="J30" s="16" t="s">
        <v>1922</v>
      </c>
      <c r="K30" s="5" t="s">
        <v>6</v>
      </c>
      <c r="L30" s="10" t="str">
        <f t="shared" ca="1" si="0"/>
        <v>Calibrado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" hidden="1" customHeight="1">
      <c r="A31" s="20" t="s">
        <v>888</v>
      </c>
      <c r="B31" s="5" t="s">
        <v>1506</v>
      </c>
      <c r="C31" s="5" t="s">
        <v>65</v>
      </c>
      <c r="D31" s="59" t="s">
        <v>887</v>
      </c>
      <c r="E31" s="6">
        <v>46006</v>
      </c>
      <c r="F31" s="91">
        <f t="shared" si="3"/>
        <v>46387</v>
      </c>
      <c r="G31" s="78"/>
      <c r="H31" s="78"/>
      <c r="I31" s="16" t="s">
        <v>1630</v>
      </c>
      <c r="J31" s="16"/>
      <c r="K31" s="5" t="s">
        <v>6</v>
      </c>
      <c r="L31" s="10" t="str">
        <f t="shared" ca="1" si="0"/>
        <v>Calibrado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" hidden="1" customHeight="1">
      <c r="A32" s="20" t="s">
        <v>636</v>
      </c>
      <c r="B32" s="88" t="s">
        <v>1506</v>
      </c>
      <c r="C32" s="42" t="s">
        <v>7</v>
      </c>
      <c r="D32" s="33">
        <v>93236860</v>
      </c>
      <c r="E32" s="52"/>
      <c r="F32" s="52"/>
      <c r="G32" s="81"/>
      <c r="H32" s="89" t="s">
        <v>2092</v>
      </c>
      <c r="I32" s="55"/>
      <c r="J32" s="55"/>
      <c r="K32" s="4" t="s">
        <v>109</v>
      </c>
      <c r="L32" s="10" t="str">
        <f t="shared" si="0"/>
        <v>INATIVO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" hidden="1" customHeight="1">
      <c r="A33" s="20" t="s">
        <v>117</v>
      </c>
      <c r="B33" s="5" t="s">
        <v>1506</v>
      </c>
      <c r="C33" s="5" t="s">
        <v>65</v>
      </c>
      <c r="D33" s="9" t="s">
        <v>965</v>
      </c>
      <c r="E33" s="6">
        <v>45883</v>
      </c>
      <c r="F33" s="91">
        <f>EOMONTH(E33,12)</f>
        <v>46265</v>
      </c>
      <c r="G33" s="80"/>
      <c r="H33" s="80"/>
      <c r="I33" s="16" t="s">
        <v>1404</v>
      </c>
      <c r="J33" s="16"/>
      <c r="K33" s="5" t="s">
        <v>6</v>
      </c>
      <c r="L33" s="10" t="str">
        <f t="shared" ca="1" si="0"/>
        <v>Calibrado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" hidden="1" customHeight="1">
      <c r="A34" s="20" t="s">
        <v>637</v>
      </c>
      <c r="B34" s="5" t="s">
        <v>1506</v>
      </c>
      <c r="C34" s="42" t="s">
        <v>7</v>
      </c>
      <c r="D34" s="33">
        <v>98103890</v>
      </c>
      <c r="E34" s="52"/>
      <c r="F34" s="52"/>
      <c r="G34" s="81"/>
      <c r="H34" s="81"/>
      <c r="I34" s="55"/>
      <c r="J34" s="55"/>
      <c r="K34" s="4" t="s">
        <v>109</v>
      </c>
      <c r="L34" s="10" t="str">
        <f t="shared" si="0"/>
        <v>INATIVO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" hidden="1" customHeight="1">
      <c r="A35" s="20" t="s">
        <v>121</v>
      </c>
      <c r="B35" s="5" t="s">
        <v>1506</v>
      </c>
      <c r="C35" s="39" t="s">
        <v>31</v>
      </c>
      <c r="D35" s="9" t="s">
        <v>94</v>
      </c>
      <c r="E35" s="6">
        <v>46150</v>
      </c>
      <c r="F35" s="91">
        <f t="shared" ref="F35:F42" si="4">EOMONTH(E35,12)</f>
        <v>46538</v>
      </c>
      <c r="G35" s="80"/>
      <c r="H35" s="80"/>
      <c r="I35" s="16" t="s">
        <v>1263</v>
      </c>
      <c r="J35" s="16" t="s">
        <v>1929</v>
      </c>
      <c r="K35" s="5" t="s">
        <v>6</v>
      </c>
      <c r="L35" s="10" t="str">
        <f t="shared" ca="1" si="0"/>
        <v>Calibrado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" hidden="1" customHeight="1">
      <c r="A36" s="20" t="s">
        <v>639</v>
      </c>
      <c r="B36" s="5" t="s">
        <v>1506</v>
      </c>
      <c r="C36" s="39" t="s">
        <v>31</v>
      </c>
      <c r="D36" s="9" t="s">
        <v>640</v>
      </c>
      <c r="E36" s="6">
        <v>45968</v>
      </c>
      <c r="F36" s="91">
        <f t="shared" si="4"/>
        <v>46356</v>
      </c>
      <c r="G36" s="78"/>
      <c r="H36" s="78"/>
      <c r="I36" s="16" t="s">
        <v>1565</v>
      </c>
      <c r="J36" s="16"/>
      <c r="K36" s="5" t="s">
        <v>6</v>
      </c>
      <c r="L36" s="10" t="str">
        <f t="shared" ca="1" si="0"/>
        <v>Calibrado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" hidden="1" customHeight="1">
      <c r="A37" s="20" t="s">
        <v>638</v>
      </c>
      <c r="B37" s="5" t="s">
        <v>1506</v>
      </c>
      <c r="C37" s="42" t="s">
        <v>7</v>
      </c>
      <c r="D37" s="9">
        <v>94707794</v>
      </c>
      <c r="E37" s="6">
        <v>46045</v>
      </c>
      <c r="F37" s="91">
        <f t="shared" si="4"/>
        <v>46418</v>
      </c>
      <c r="G37" s="80"/>
      <c r="H37" s="80" t="s">
        <v>2066</v>
      </c>
      <c r="I37" s="16" t="s">
        <v>1033</v>
      </c>
      <c r="J37" s="16" t="s">
        <v>1693</v>
      </c>
      <c r="K37" s="5" t="s">
        <v>6</v>
      </c>
      <c r="L37" s="10" t="str">
        <f t="shared" ca="1" si="0"/>
        <v>Calibrado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" hidden="1" customHeight="1">
      <c r="A38" s="20" t="s">
        <v>129</v>
      </c>
      <c r="B38" s="5" t="s">
        <v>1506</v>
      </c>
      <c r="C38" s="42" t="s">
        <v>7</v>
      </c>
      <c r="D38" s="9" t="s">
        <v>641</v>
      </c>
      <c r="E38" s="6">
        <v>46073</v>
      </c>
      <c r="F38" s="91">
        <f t="shared" si="4"/>
        <v>46446</v>
      </c>
      <c r="G38" s="80" t="s">
        <v>2062</v>
      </c>
      <c r="H38" s="80"/>
      <c r="I38" s="16" t="s">
        <v>1083</v>
      </c>
      <c r="J38" s="16" t="s">
        <v>1787</v>
      </c>
      <c r="K38" s="5" t="s">
        <v>6</v>
      </c>
      <c r="L38" s="10" t="str">
        <f t="shared" ca="1" si="0"/>
        <v>Calibrado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" hidden="1" customHeight="1">
      <c r="A39" s="20" t="s">
        <v>937</v>
      </c>
      <c r="B39" s="5" t="s">
        <v>1506</v>
      </c>
      <c r="C39" s="28" t="s">
        <v>1273</v>
      </c>
      <c r="D39" s="9" t="s">
        <v>938</v>
      </c>
      <c r="E39" s="6">
        <v>45964</v>
      </c>
      <c r="F39" s="91">
        <f t="shared" si="4"/>
        <v>46356</v>
      </c>
      <c r="G39" s="78"/>
      <c r="H39" s="78"/>
      <c r="I39" s="16" t="s">
        <v>1558</v>
      </c>
      <c r="J39" s="16"/>
      <c r="K39" s="5" t="s">
        <v>6</v>
      </c>
      <c r="L39" s="10" t="str">
        <f t="shared" ca="1" si="0"/>
        <v>Calibrado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" hidden="1" customHeight="1">
      <c r="A40" s="20" t="s">
        <v>205</v>
      </c>
      <c r="B40" s="5" t="s">
        <v>1506</v>
      </c>
      <c r="C40" s="42" t="s">
        <v>7</v>
      </c>
      <c r="D40" s="9">
        <v>96901973</v>
      </c>
      <c r="E40" s="6">
        <v>46204</v>
      </c>
      <c r="F40" s="91">
        <f t="shared" si="4"/>
        <v>46599</v>
      </c>
      <c r="G40" s="80" t="s">
        <v>2062</v>
      </c>
      <c r="H40" s="80" t="s">
        <v>2066</v>
      </c>
      <c r="I40" s="16" t="s">
        <v>1336</v>
      </c>
      <c r="J40" s="16" t="s">
        <v>2053</v>
      </c>
      <c r="K40" s="5" t="s">
        <v>6</v>
      </c>
      <c r="L40" s="10" t="str">
        <f t="shared" ca="1" si="0"/>
        <v>Calibrado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" hidden="1" customHeight="1">
      <c r="A41" s="20" t="s">
        <v>206</v>
      </c>
      <c r="B41" s="5" t="s">
        <v>1506</v>
      </c>
      <c r="C41" s="42" t="s">
        <v>7</v>
      </c>
      <c r="D41" s="9" t="s">
        <v>644</v>
      </c>
      <c r="E41" s="6">
        <v>46073</v>
      </c>
      <c r="F41" s="91">
        <f t="shared" si="4"/>
        <v>46446</v>
      </c>
      <c r="G41" s="80" t="s">
        <v>2063</v>
      </c>
      <c r="H41" s="80" t="s">
        <v>2066</v>
      </c>
      <c r="I41" s="16" t="s">
        <v>1084</v>
      </c>
      <c r="J41" s="16" t="s">
        <v>1788</v>
      </c>
      <c r="K41" s="5" t="s">
        <v>6</v>
      </c>
      <c r="L41" s="10" t="str">
        <f t="shared" ca="1" si="0"/>
        <v>Calibrado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" hidden="1" customHeight="1">
      <c r="A42" s="20" t="s">
        <v>207</v>
      </c>
      <c r="B42" s="5" t="s">
        <v>1506</v>
      </c>
      <c r="C42" s="42" t="s">
        <v>7</v>
      </c>
      <c r="D42" s="9" t="s">
        <v>642</v>
      </c>
      <c r="E42" s="6">
        <v>45917</v>
      </c>
      <c r="F42" s="91">
        <f t="shared" si="4"/>
        <v>46295</v>
      </c>
      <c r="G42" s="80" t="s">
        <v>2063</v>
      </c>
      <c r="H42" s="80"/>
      <c r="I42" s="16" t="s">
        <v>1467</v>
      </c>
      <c r="J42" s="16"/>
      <c r="K42" s="5" t="s">
        <v>6</v>
      </c>
      <c r="L42" s="10" t="str">
        <f t="shared" ca="1" si="0"/>
        <v>Calibrado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" hidden="1" customHeight="1">
      <c r="A43" s="20" t="s">
        <v>645</v>
      </c>
      <c r="B43" s="5" t="s">
        <v>1506</v>
      </c>
      <c r="C43" s="42" t="s">
        <v>7</v>
      </c>
      <c r="D43" s="33">
        <v>52015586</v>
      </c>
      <c r="E43" s="52"/>
      <c r="F43" s="52"/>
      <c r="G43" s="81"/>
      <c r="H43" s="81"/>
      <c r="I43" s="55"/>
      <c r="J43" s="55"/>
      <c r="K43" s="4" t="s">
        <v>109</v>
      </c>
      <c r="L43" s="10" t="str">
        <f t="shared" si="0"/>
        <v>INATIVO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" hidden="1" customHeight="1">
      <c r="A44" s="20" t="s">
        <v>646</v>
      </c>
      <c r="B44" s="5" t="s">
        <v>1506</v>
      </c>
      <c r="C44" s="42" t="s">
        <v>7</v>
      </c>
      <c r="D44" s="33">
        <v>98104225</v>
      </c>
      <c r="E44" s="52"/>
      <c r="F44" s="52"/>
      <c r="G44" s="81"/>
      <c r="H44" s="81"/>
      <c r="I44" s="55"/>
      <c r="J44" s="55"/>
      <c r="K44" s="4" t="s">
        <v>109</v>
      </c>
      <c r="L44" s="10" t="str">
        <f t="shared" si="0"/>
        <v>INATIVO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" hidden="1" customHeight="1">
      <c r="A45" s="20" t="s">
        <v>208</v>
      </c>
      <c r="B45" s="5" t="s">
        <v>1506</v>
      </c>
      <c r="C45" s="42" t="s">
        <v>7</v>
      </c>
      <c r="D45" s="9">
        <v>52131281</v>
      </c>
      <c r="E45" s="6">
        <v>46074</v>
      </c>
      <c r="F45" s="91">
        <f t="shared" ref="F45:F54" si="5">EOMONTH(E45,12)</f>
        <v>46446</v>
      </c>
      <c r="G45" s="80" t="s">
        <v>2063</v>
      </c>
      <c r="H45" s="80"/>
      <c r="I45" s="16" t="s">
        <v>1085</v>
      </c>
      <c r="J45" s="16" t="s">
        <v>1789</v>
      </c>
      <c r="K45" s="5" t="s">
        <v>6</v>
      </c>
      <c r="L45" s="10" t="str">
        <f t="shared" ca="1" si="0"/>
        <v>Calibrado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" hidden="1" customHeight="1">
      <c r="A46" s="20" t="s">
        <v>209</v>
      </c>
      <c r="B46" s="5" t="s">
        <v>1506</v>
      </c>
      <c r="C46" s="42" t="s">
        <v>7</v>
      </c>
      <c r="D46" s="9">
        <v>52015591</v>
      </c>
      <c r="E46" s="6">
        <v>46046</v>
      </c>
      <c r="F46" s="91">
        <f t="shared" si="5"/>
        <v>46418</v>
      </c>
      <c r="G46" s="80"/>
      <c r="H46" s="80" t="s">
        <v>2066</v>
      </c>
      <c r="I46" s="16" t="s">
        <v>1034</v>
      </c>
      <c r="J46" s="16" t="s">
        <v>1694</v>
      </c>
      <c r="K46" s="5" t="s">
        <v>6</v>
      </c>
      <c r="L46" s="10" t="str">
        <f t="shared" ca="1" si="0"/>
        <v>Calibrado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" hidden="1" customHeight="1">
      <c r="A47" s="20" t="s">
        <v>210</v>
      </c>
      <c r="B47" s="5" t="s">
        <v>1506</v>
      </c>
      <c r="C47" s="42" t="s">
        <v>7</v>
      </c>
      <c r="D47" s="9" t="s">
        <v>647</v>
      </c>
      <c r="E47" s="6">
        <v>46074</v>
      </c>
      <c r="F47" s="91">
        <f t="shared" si="5"/>
        <v>46446</v>
      </c>
      <c r="G47" s="80" t="s">
        <v>2063</v>
      </c>
      <c r="H47" s="80"/>
      <c r="I47" s="16" t="s">
        <v>1086</v>
      </c>
      <c r="J47" s="16" t="s">
        <v>1790</v>
      </c>
      <c r="K47" s="5" t="s">
        <v>6</v>
      </c>
      <c r="L47" s="10" t="str">
        <f t="shared" ca="1" si="0"/>
        <v>Calibrado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" hidden="1" customHeight="1">
      <c r="A48" s="20" t="s">
        <v>211</v>
      </c>
      <c r="B48" s="5" t="s">
        <v>1506</v>
      </c>
      <c r="C48" s="42" t="s">
        <v>7</v>
      </c>
      <c r="D48" s="9" t="s">
        <v>648</v>
      </c>
      <c r="E48" s="6">
        <v>46107</v>
      </c>
      <c r="F48" s="91">
        <f t="shared" si="5"/>
        <v>46477</v>
      </c>
      <c r="G48" s="80" t="s">
        <v>2063</v>
      </c>
      <c r="H48" s="80"/>
      <c r="I48" s="16" t="s">
        <v>1126</v>
      </c>
      <c r="J48" s="16" t="s">
        <v>1848</v>
      </c>
      <c r="K48" s="5" t="s">
        <v>6</v>
      </c>
      <c r="L48" s="10" t="str">
        <f t="shared" ca="1" si="0"/>
        <v>Calibrado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" hidden="1" customHeight="1">
      <c r="A49" s="20" t="s">
        <v>212</v>
      </c>
      <c r="B49" s="5" t="s">
        <v>1506</v>
      </c>
      <c r="C49" s="42" t="s">
        <v>7</v>
      </c>
      <c r="D49" s="9" t="s">
        <v>1274</v>
      </c>
      <c r="E49" s="6">
        <v>46046</v>
      </c>
      <c r="F49" s="91">
        <f t="shared" si="5"/>
        <v>46418</v>
      </c>
      <c r="G49" s="80"/>
      <c r="H49" s="80" t="s">
        <v>2066</v>
      </c>
      <c r="I49" s="16" t="s">
        <v>1035</v>
      </c>
      <c r="J49" s="16" t="s">
        <v>1695</v>
      </c>
      <c r="K49" s="5" t="s">
        <v>6</v>
      </c>
      <c r="L49" s="10" t="str">
        <f t="shared" ca="1" si="0"/>
        <v>Calibrado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" hidden="1" customHeight="1">
      <c r="A50" s="20" t="s">
        <v>213</v>
      </c>
      <c r="B50" s="5" t="s">
        <v>1506</v>
      </c>
      <c r="C50" s="42" t="s">
        <v>7</v>
      </c>
      <c r="D50" s="9" t="s">
        <v>1275</v>
      </c>
      <c r="E50" s="6">
        <v>46046</v>
      </c>
      <c r="F50" s="91">
        <f t="shared" si="5"/>
        <v>46418</v>
      </c>
      <c r="G50" s="80"/>
      <c r="H50" s="80" t="s">
        <v>2066</v>
      </c>
      <c r="I50" s="16" t="s">
        <v>1036</v>
      </c>
      <c r="J50" s="16" t="s">
        <v>1696</v>
      </c>
      <c r="K50" s="5" t="s">
        <v>6</v>
      </c>
      <c r="L50" s="10" t="str">
        <f t="shared" ca="1" si="0"/>
        <v>Calibrado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" hidden="1" customHeight="1">
      <c r="A51" s="20" t="s">
        <v>214</v>
      </c>
      <c r="B51" s="5" t="s">
        <v>1506</v>
      </c>
      <c r="C51" s="42" t="s">
        <v>7</v>
      </c>
      <c r="D51" s="9" t="s">
        <v>110</v>
      </c>
      <c r="E51" s="6">
        <v>46048</v>
      </c>
      <c r="F51" s="91">
        <f t="shared" si="5"/>
        <v>46418</v>
      </c>
      <c r="G51" s="80"/>
      <c r="H51" s="80" t="s">
        <v>2066</v>
      </c>
      <c r="I51" s="16" t="s">
        <v>1037</v>
      </c>
      <c r="J51" s="16" t="s">
        <v>1697</v>
      </c>
      <c r="K51" s="5" t="s">
        <v>6</v>
      </c>
      <c r="L51" s="10" t="str">
        <f t="shared" ca="1" si="0"/>
        <v>Calibrado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" hidden="1" customHeight="1">
      <c r="A52" s="20" t="s">
        <v>215</v>
      </c>
      <c r="B52" s="5" t="s">
        <v>1506</v>
      </c>
      <c r="C52" s="42" t="s">
        <v>7</v>
      </c>
      <c r="D52" s="9" t="s">
        <v>603</v>
      </c>
      <c r="E52" s="6">
        <v>46048</v>
      </c>
      <c r="F52" s="91">
        <f t="shared" si="5"/>
        <v>46418</v>
      </c>
      <c r="G52" s="80"/>
      <c r="H52" s="80" t="s">
        <v>2066</v>
      </c>
      <c r="I52" s="16" t="s">
        <v>1038</v>
      </c>
      <c r="J52" s="16" t="s">
        <v>1698</v>
      </c>
      <c r="K52" s="5" t="s">
        <v>6</v>
      </c>
      <c r="L52" s="10" t="str">
        <f t="shared" ca="1" si="0"/>
        <v>Calibrado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" hidden="1" customHeight="1">
      <c r="A53" s="20" t="s">
        <v>216</v>
      </c>
      <c r="B53" s="5" t="s">
        <v>1506</v>
      </c>
      <c r="C53" s="39" t="s">
        <v>31</v>
      </c>
      <c r="D53" s="5" t="s">
        <v>608</v>
      </c>
      <c r="E53" s="6">
        <v>46028</v>
      </c>
      <c r="F53" s="91">
        <f t="shared" si="5"/>
        <v>46418</v>
      </c>
      <c r="G53" s="80"/>
      <c r="H53" s="80" t="s">
        <v>2066</v>
      </c>
      <c r="I53" s="16" t="s">
        <v>990</v>
      </c>
      <c r="J53" s="16" t="s">
        <v>1650</v>
      </c>
      <c r="K53" s="5" t="s">
        <v>6</v>
      </c>
      <c r="L53" s="10" t="str">
        <f t="shared" ca="1" si="0"/>
        <v>Calibrado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" hidden="1" customHeight="1">
      <c r="A54" s="20" t="s">
        <v>217</v>
      </c>
      <c r="B54" s="5" t="s">
        <v>1506</v>
      </c>
      <c r="C54" s="39" t="s">
        <v>31</v>
      </c>
      <c r="D54" s="5" t="s">
        <v>609</v>
      </c>
      <c r="E54" s="6">
        <v>46028</v>
      </c>
      <c r="F54" s="91">
        <f t="shared" si="5"/>
        <v>46418</v>
      </c>
      <c r="G54" s="80"/>
      <c r="H54" s="80" t="s">
        <v>2066</v>
      </c>
      <c r="I54" s="16" t="s">
        <v>991</v>
      </c>
      <c r="J54" s="16" t="s">
        <v>1651</v>
      </c>
      <c r="K54" s="5" t="s">
        <v>6</v>
      </c>
      <c r="L54" s="10" t="str">
        <f t="shared" ca="1" si="0"/>
        <v>Calibrado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" hidden="1" customHeight="1">
      <c r="A55" s="20" t="s">
        <v>1861</v>
      </c>
      <c r="B55" s="5" t="s">
        <v>1506</v>
      </c>
      <c r="C55" s="39" t="s">
        <v>31</v>
      </c>
      <c r="D55" s="5" t="s">
        <v>1862</v>
      </c>
      <c r="E55" s="6">
        <v>45996</v>
      </c>
      <c r="F55" s="91">
        <f>EOMONTH(E55,12)</f>
        <v>46387</v>
      </c>
      <c r="G55" s="80"/>
      <c r="H55" s="80"/>
      <c r="I55" s="16" t="s">
        <v>1865</v>
      </c>
      <c r="J55" s="16"/>
      <c r="K55" s="5" t="s">
        <v>6</v>
      </c>
      <c r="L55" s="10" t="str">
        <f t="shared" ca="1" si="0"/>
        <v>Calibrado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" hidden="1" customHeight="1">
      <c r="A56" s="20" t="s">
        <v>1863</v>
      </c>
      <c r="B56" s="5" t="s">
        <v>1506</v>
      </c>
      <c r="C56" s="39" t="s">
        <v>31</v>
      </c>
      <c r="D56" s="9" t="s">
        <v>1864</v>
      </c>
      <c r="E56" s="6">
        <v>45996</v>
      </c>
      <c r="F56" s="91">
        <f>EOMONTH(E56,12)</f>
        <v>46387</v>
      </c>
      <c r="G56" s="80"/>
      <c r="H56" s="80"/>
      <c r="I56" s="16" t="s">
        <v>1866</v>
      </c>
      <c r="J56" s="16"/>
      <c r="K56" s="5" t="s">
        <v>6</v>
      </c>
      <c r="L56" s="10" t="str">
        <f t="shared" ca="1" si="0"/>
        <v>Calibrado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" hidden="1" customHeight="1">
      <c r="A57" s="20" t="s">
        <v>649</v>
      </c>
      <c r="B57" s="5" t="s">
        <v>1506</v>
      </c>
      <c r="C57" s="42" t="s">
        <v>7</v>
      </c>
      <c r="D57" s="33">
        <v>52015592</v>
      </c>
      <c r="E57" s="52"/>
      <c r="F57" s="52"/>
      <c r="G57" s="81"/>
      <c r="H57" s="81"/>
      <c r="I57" s="55"/>
      <c r="J57" s="55"/>
      <c r="K57" s="4" t="s">
        <v>109</v>
      </c>
      <c r="L57" s="10" t="str">
        <f t="shared" si="0"/>
        <v>INATIVO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" hidden="1" customHeight="1">
      <c r="A58" s="20" t="s">
        <v>650</v>
      </c>
      <c r="B58" s="5" t="s">
        <v>1506</v>
      </c>
      <c r="C58" s="39" t="s">
        <v>31</v>
      </c>
      <c r="D58" s="9" t="s">
        <v>613</v>
      </c>
      <c r="E58" s="6">
        <v>45934</v>
      </c>
      <c r="F58" s="91">
        <f t="shared" ref="F58:F67" si="6">EOMONTH(E58,12)</f>
        <v>46326</v>
      </c>
      <c r="G58" s="80" t="s">
        <v>2062</v>
      </c>
      <c r="H58" s="78"/>
      <c r="I58" s="16" t="s">
        <v>1494</v>
      </c>
      <c r="J58" s="16"/>
      <c r="K58" s="5" t="s">
        <v>6</v>
      </c>
      <c r="L58" s="10" t="str">
        <f t="shared" ca="1" si="0"/>
        <v>Calibrado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" hidden="1" customHeight="1">
      <c r="A59" s="20" t="s">
        <v>651</v>
      </c>
      <c r="B59" s="5" t="s">
        <v>1506</v>
      </c>
      <c r="C59" s="39" t="s">
        <v>31</v>
      </c>
      <c r="D59" s="9" t="s">
        <v>612</v>
      </c>
      <c r="E59" s="6">
        <v>45934</v>
      </c>
      <c r="F59" s="91">
        <f t="shared" si="6"/>
        <v>46326</v>
      </c>
      <c r="G59" s="80" t="s">
        <v>2062</v>
      </c>
      <c r="H59" s="78"/>
      <c r="I59" s="16" t="s">
        <v>1495</v>
      </c>
      <c r="J59" s="16"/>
      <c r="K59" s="5" t="s">
        <v>6</v>
      </c>
      <c r="L59" s="10" t="str">
        <f t="shared" ca="1" si="0"/>
        <v>Calibrado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" hidden="1" customHeight="1">
      <c r="A60" s="20" t="s">
        <v>218</v>
      </c>
      <c r="B60" s="5" t="s">
        <v>1506</v>
      </c>
      <c r="C60" s="39" t="s">
        <v>31</v>
      </c>
      <c r="D60" s="9" t="s">
        <v>604</v>
      </c>
      <c r="E60" s="6">
        <v>46067</v>
      </c>
      <c r="F60" s="91">
        <f t="shared" si="6"/>
        <v>46446</v>
      </c>
      <c r="G60" s="80" t="s">
        <v>2062</v>
      </c>
      <c r="H60" s="80"/>
      <c r="I60" s="16" t="s">
        <v>1061</v>
      </c>
      <c r="J60" s="16" t="s">
        <v>1780</v>
      </c>
      <c r="K60" s="5" t="s">
        <v>6</v>
      </c>
      <c r="L60" s="10" t="str">
        <f t="shared" ca="1" si="0"/>
        <v>Calibrado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" hidden="1" customHeight="1">
      <c r="A61" s="20" t="s">
        <v>219</v>
      </c>
      <c r="B61" s="5" t="s">
        <v>1506</v>
      </c>
      <c r="C61" s="39" t="s">
        <v>31</v>
      </c>
      <c r="D61" s="9" t="s">
        <v>605</v>
      </c>
      <c r="E61" s="6">
        <v>46087</v>
      </c>
      <c r="F61" s="91">
        <f t="shared" si="6"/>
        <v>46477</v>
      </c>
      <c r="G61" s="80" t="s">
        <v>2062</v>
      </c>
      <c r="H61" s="80"/>
      <c r="I61" s="16" t="s">
        <v>1144</v>
      </c>
      <c r="J61" s="16" t="s">
        <v>1814</v>
      </c>
      <c r="K61" s="5" t="s">
        <v>6</v>
      </c>
      <c r="L61" s="10" t="str">
        <f t="shared" ca="1" si="0"/>
        <v>Calibrado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" hidden="1" customHeight="1">
      <c r="A62" s="20" t="s">
        <v>220</v>
      </c>
      <c r="B62" s="5" t="s">
        <v>1506</v>
      </c>
      <c r="C62" s="39" t="s">
        <v>31</v>
      </c>
      <c r="D62" s="9" t="s">
        <v>606</v>
      </c>
      <c r="E62" s="6">
        <v>46067</v>
      </c>
      <c r="F62" s="91">
        <f t="shared" si="6"/>
        <v>46446</v>
      </c>
      <c r="G62" s="80" t="s">
        <v>2062</v>
      </c>
      <c r="H62" s="80"/>
      <c r="I62" s="16" t="s">
        <v>1062</v>
      </c>
      <c r="J62" s="16" t="s">
        <v>1781</v>
      </c>
      <c r="K62" s="5" t="s">
        <v>6</v>
      </c>
      <c r="L62" s="10" t="str">
        <f t="shared" ca="1" si="0"/>
        <v>Calibrado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" hidden="1" customHeight="1">
      <c r="A63" s="20" t="s">
        <v>221</v>
      </c>
      <c r="B63" s="5" t="s">
        <v>1506</v>
      </c>
      <c r="C63" s="39" t="s">
        <v>31</v>
      </c>
      <c r="D63" s="9" t="s">
        <v>607</v>
      </c>
      <c r="E63" s="6">
        <v>46028</v>
      </c>
      <c r="F63" s="91">
        <f t="shared" si="6"/>
        <v>46418</v>
      </c>
      <c r="G63" s="80"/>
      <c r="H63" s="80" t="s">
        <v>2066</v>
      </c>
      <c r="I63" s="16" t="s">
        <v>992</v>
      </c>
      <c r="J63" s="16" t="s">
        <v>1652</v>
      </c>
      <c r="K63" s="5" t="s">
        <v>6</v>
      </c>
      <c r="L63" s="10" t="str">
        <f t="shared" ca="1" si="0"/>
        <v>Calibrado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" hidden="1" customHeight="1">
      <c r="A64" s="20" t="s">
        <v>652</v>
      </c>
      <c r="B64" s="5" t="s">
        <v>1506</v>
      </c>
      <c r="C64" s="39" t="s">
        <v>31</v>
      </c>
      <c r="D64" s="9" t="s">
        <v>654</v>
      </c>
      <c r="E64" s="6">
        <v>45936</v>
      </c>
      <c r="F64" s="91">
        <f t="shared" si="6"/>
        <v>46326</v>
      </c>
      <c r="G64" s="80" t="s">
        <v>2062</v>
      </c>
      <c r="H64" s="78"/>
      <c r="I64" s="16" t="s">
        <v>1496</v>
      </c>
      <c r="J64" s="16"/>
      <c r="K64" s="5" t="s">
        <v>6</v>
      </c>
      <c r="L64" s="10" t="str">
        <f t="shared" ca="1" si="0"/>
        <v>Calibrado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" hidden="1" customHeight="1">
      <c r="A65" s="20" t="s">
        <v>653</v>
      </c>
      <c r="B65" s="5" t="s">
        <v>1506</v>
      </c>
      <c r="C65" s="39" t="s">
        <v>31</v>
      </c>
      <c r="D65" s="9" t="s">
        <v>655</v>
      </c>
      <c r="E65" s="6">
        <v>45936</v>
      </c>
      <c r="F65" s="91">
        <f t="shared" si="6"/>
        <v>46326</v>
      </c>
      <c r="G65" s="80" t="s">
        <v>2062</v>
      </c>
      <c r="H65" s="78"/>
      <c r="I65" s="16" t="s">
        <v>1497</v>
      </c>
      <c r="J65" s="16"/>
      <c r="K65" s="5" t="s">
        <v>6</v>
      </c>
      <c r="L65" s="10" t="str">
        <f t="shared" ca="1" si="0"/>
        <v>Calibrado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" hidden="1" customHeight="1">
      <c r="A66" s="20" t="s">
        <v>222</v>
      </c>
      <c r="B66" s="5" t="s">
        <v>1506</v>
      </c>
      <c r="C66" s="39" t="s">
        <v>31</v>
      </c>
      <c r="D66" s="9" t="s">
        <v>610</v>
      </c>
      <c r="E66" s="6">
        <v>46216</v>
      </c>
      <c r="F66" s="91">
        <f t="shared" si="6"/>
        <v>46599</v>
      </c>
      <c r="G66" s="80" t="s">
        <v>2062</v>
      </c>
      <c r="H66" s="80" t="s">
        <v>2066</v>
      </c>
      <c r="I66" s="16" t="s">
        <v>1348</v>
      </c>
      <c r="J66" s="16" t="s">
        <v>2076</v>
      </c>
      <c r="K66" s="5" t="s">
        <v>6</v>
      </c>
      <c r="L66" s="10" t="str">
        <f t="shared" ca="1" si="0"/>
        <v>Calibrado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" hidden="1" customHeight="1">
      <c r="A67" s="20" t="s">
        <v>223</v>
      </c>
      <c r="B67" s="5" t="s">
        <v>1506</v>
      </c>
      <c r="C67" s="39" t="s">
        <v>31</v>
      </c>
      <c r="D67" s="9" t="s">
        <v>611</v>
      </c>
      <c r="E67" s="6">
        <v>46087</v>
      </c>
      <c r="F67" s="91">
        <f t="shared" si="6"/>
        <v>46477</v>
      </c>
      <c r="G67" s="80" t="s">
        <v>2062</v>
      </c>
      <c r="H67" s="80"/>
      <c r="I67" s="16" t="s">
        <v>1145</v>
      </c>
      <c r="J67" s="16" t="s">
        <v>1815</v>
      </c>
      <c r="K67" s="5" t="s">
        <v>6</v>
      </c>
      <c r="L67" s="10" t="str">
        <f t="shared" ref="L67:L130" ca="1" si="7">IF(K67="TERCEIRO","TERCEIRO",IF(K67="EM MODIF.","EM MODIF.",IF(K67="INATIVO","INATIVO",IF($E67="","Desenvolvimento",IF($F67&lt;$M$1,"Atrasado","Calibrado")))))</f>
        <v>Calibrado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" hidden="1" customHeight="1">
      <c r="A68" s="20" t="s">
        <v>656</v>
      </c>
      <c r="B68" s="5" t="s">
        <v>1506</v>
      </c>
      <c r="C68" s="42" t="s">
        <v>7</v>
      </c>
      <c r="D68" s="33" t="s">
        <v>657</v>
      </c>
      <c r="E68" s="52"/>
      <c r="F68" s="52"/>
      <c r="G68" s="81"/>
      <c r="H68" s="81"/>
      <c r="I68" s="55"/>
      <c r="J68" s="55"/>
      <c r="K68" s="4" t="s">
        <v>109</v>
      </c>
      <c r="L68" s="10" t="str">
        <f t="shared" si="7"/>
        <v>INATIVO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" hidden="1" customHeight="1">
      <c r="A69" s="20" t="s">
        <v>224</v>
      </c>
      <c r="B69" s="5" t="s">
        <v>1506</v>
      </c>
      <c r="C69" s="39" t="s">
        <v>31</v>
      </c>
      <c r="D69" s="5" t="s">
        <v>610</v>
      </c>
      <c r="E69" s="6">
        <v>46071</v>
      </c>
      <c r="F69" s="91">
        <f t="shared" ref="F69:F79" si="8">EOMONTH(E69,12)</f>
        <v>46446</v>
      </c>
      <c r="G69" s="80" t="s">
        <v>2063</v>
      </c>
      <c r="H69" s="80"/>
      <c r="I69" s="16" t="s">
        <v>1063</v>
      </c>
      <c r="J69" s="16" t="s">
        <v>1782</v>
      </c>
      <c r="K69" s="5" t="s">
        <v>6</v>
      </c>
      <c r="L69" s="10" t="str">
        <f t="shared" ca="1" si="7"/>
        <v>Calibrado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" hidden="1" customHeight="1">
      <c r="A70" s="20" t="s">
        <v>225</v>
      </c>
      <c r="B70" s="5" t="s">
        <v>1506</v>
      </c>
      <c r="C70" s="39" t="s">
        <v>31</v>
      </c>
      <c r="D70" s="5" t="s">
        <v>612</v>
      </c>
      <c r="E70" s="6">
        <v>46071</v>
      </c>
      <c r="F70" s="91">
        <f t="shared" si="8"/>
        <v>46446</v>
      </c>
      <c r="G70" s="80" t="s">
        <v>2062</v>
      </c>
      <c r="H70" s="80"/>
      <c r="I70" s="16" t="s">
        <v>1064</v>
      </c>
      <c r="J70" s="16" t="s">
        <v>1783</v>
      </c>
      <c r="K70" s="5" t="s">
        <v>6</v>
      </c>
      <c r="L70" s="10" t="str">
        <f t="shared" ca="1" si="7"/>
        <v>Calibrado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" hidden="1" customHeight="1">
      <c r="A71" s="20" t="s">
        <v>226</v>
      </c>
      <c r="B71" s="5" t="s">
        <v>1506</v>
      </c>
      <c r="C71" s="39" t="s">
        <v>31</v>
      </c>
      <c r="D71" s="5" t="s">
        <v>613</v>
      </c>
      <c r="E71" s="6">
        <v>46071</v>
      </c>
      <c r="F71" s="91">
        <f t="shared" si="8"/>
        <v>46446</v>
      </c>
      <c r="G71" s="80" t="s">
        <v>2062</v>
      </c>
      <c r="H71" s="80"/>
      <c r="I71" s="16" t="s">
        <v>1065</v>
      </c>
      <c r="J71" s="16" t="s">
        <v>1784</v>
      </c>
      <c r="K71" s="5" t="s">
        <v>6</v>
      </c>
      <c r="L71" s="10" t="str">
        <f t="shared" ca="1" si="7"/>
        <v>Calibrado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" hidden="1" customHeight="1">
      <c r="A72" s="20" t="s">
        <v>227</v>
      </c>
      <c r="B72" s="5" t="s">
        <v>1506</v>
      </c>
      <c r="C72" s="42" t="s">
        <v>7</v>
      </c>
      <c r="D72" s="9">
        <v>52020258</v>
      </c>
      <c r="E72" s="6">
        <v>46049</v>
      </c>
      <c r="F72" s="91">
        <f t="shared" si="8"/>
        <v>46418</v>
      </c>
      <c r="G72" s="80"/>
      <c r="H72" s="80" t="s">
        <v>2066</v>
      </c>
      <c r="I72" s="16" t="s">
        <v>1031</v>
      </c>
      <c r="J72" s="16" t="s">
        <v>1747</v>
      </c>
      <c r="K72" s="5" t="s">
        <v>6</v>
      </c>
      <c r="L72" s="10" t="str">
        <f t="shared" ca="1" si="7"/>
        <v>Calibrado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" hidden="1" customHeight="1">
      <c r="A73" s="20" t="s">
        <v>228</v>
      </c>
      <c r="B73" s="5" t="s">
        <v>1506</v>
      </c>
      <c r="C73" s="42" t="s">
        <v>7</v>
      </c>
      <c r="D73" s="9">
        <v>52107896</v>
      </c>
      <c r="E73" s="6">
        <v>46108</v>
      </c>
      <c r="F73" s="91">
        <f t="shared" si="8"/>
        <v>46477</v>
      </c>
      <c r="G73" s="80" t="s">
        <v>2063</v>
      </c>
      <c r="H73" s="80"/>
      <c r="I73" s="16" t="s">
        <v>1127</v>
      </c>
      <c r="J73" s="16" t="s">
        <v>1849</v>
      </c>
      <c r="K73" s="5" t="s">
        <v>6</v>
      </c>
      <c r="L73" s="10" t="str">
        <f t="shared" ca="1" si="7"/>
        <v>Calibrado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" hidden="1" customHeight="1">
      <c r="A74" s="20" t="s">
        <v>229</v>
      </c>
      <c r="B74" s="5" t="s">
        <v>1506</v>
      </c>
      <c r="C74" s="42" t="s">
        <v>7</v>
      </c>
      <c r="D74" s="9">
        <v>94762945</v>
      </c>
      <c r="E74" s="6">
        <v>46204</v>
      </c>
      <c r="F74" s="91">
        <f t="shared" si="8"/>
        <v>46599</v>
      </c>
      <c r="G74" s="80" t="s">
        <v>2062</v>
      </c>
      <c r="H74" s="80" t="s">
        <v>2066</v>
      </c>
      <c r="I74" s="16" t="s">
        <v>1337</v>
      </c>
      <c r="J74" s="16" t="s">
        <v>2054</v>
      </c>
      <c r="K74" s="5" t="s">
        <v>6</v>
      </c>
      <c r="L74" s="10" t="str">
        <f t="shared" ca="1" si="7"/>
        <v>Calibrado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" hidden="1" customHeight="1">
      <c r="A75" s="20" t="s">
        <v>230</v>
      </c>
      <c r="B75" s="5" t="s">
        <v>1506</v>
      </c>
      <c r="C75" s="42" t="s">
        <v>7</v>
      </c>
      <c r="D75" s="9" t="s">
        <v>927</v>
      </c>
      <c r="E75" s="6">
        <v>46163</v>
      </c>
      <c r="F75" s="91">
        <f t="shared" si="8"/>
        <v>46538</v>
      </c>
      <c r="G75" s="80"/>
      <c r="H75" s="80"/>
      <c r="I75" s="16" t="s">
        <v>1223</v>
      </c>
      <c r="J75" s="16" t="s">
        <v>1963</v>
      </c>
      <c r="K75" s="5" t="s">
        <v>6</v>
      </c>
      <c r="L75" s="10" t="str">
        <f t="shared" ca="1" si="7"/>
        <v>Calibrado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" hidden="1" customHeight="1">
      <c r="A76" s="20" t="s">
        <v>231</v>
      </c>
      <c r="B76" s="5" t="s">
        <v>1506</v>
      </c>
      <c r="C76" s="42" t="s">
        <v>7</v>
      </c>
      <c r="D76" s="9" t="s">
        <v>614</v>
      </c>
      <c r="E76" s="6">
        <v>46164</v>
      </c>
      <c r="F76" s="91">
        <f t="shared" si="8"/>
        <v>46538</v>
      </c>
      <c r="G76" s="80"/>
      <c r="H76" s="80"/>
      <c r="I76" s="16" t="s">
        <v>1224</v>
      </c>
      <c r="J76" s="16" t="s">
        <v>1964</v>
      </c>
      <c r="K76" s="5" t="s">
        <v>6</v>
      </c>
      <c r="L76" s="10" t="str">
        <f t="shared" ca="1" si="7"/>
        <v>Calibrado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" hidden="1" customHeight="1">
      <c r="A77" s="20" t="s">
        <v>232</v>
      </c>
      <c r="B77" s="5" t="s">
        <v>1506</v>
      </c>
      <c r="C77" s="39" t="s">
        <v>31</v>
      </c>
      <c r="D77" s="9" t="s">
        <v>615</v>
      </c>
      <c r="E77" s="6">
        <v>46238</v>
      </c>
      <c r="F77" s="91">
        <f t="shared" si="8"/>
        <v>46630</v>
      </c>
      <c r="G77" s="80"/>
      <c r="H77" s="78" t="s">
        <v>2068</v>
      </c>
      <c r="I77" s="16" t="s">
        <v>1383</v>
      </c>
      <c r="J77" s="16" t="s">
        <v>2170</v>
      </c>
      <c r="K77" s="5" t="s">
        <v>6</v>
      </c>
      <c r="L77" s="10" t="str">
        <f t="shared" ca="1" si="7"/>
        <v>Calibrado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" hidden="1" customHeight="1">
      <c r="A78" s="20" t="s">
        <v>233</v>
      </c>
      <c r="B78" s="5" t="s">
        <v>1506</v>
      </c>
      <c r="C78" s="39" t="s">
        <v>31</v>
      </c>
      <c r="D78" s="9" t="s">
        <v>616</v>
      </c>
      <c r="E78" s="6">
        <v>46238</v>
      </c>
      <c r="F78" s="91">
        <f t="shared" si="8"/>
        <v>46630</v>
      </c>
      <c r="G78" s="80"/>
      <c r="H78" s="80" t="s">
        <v>2066</v>
      </c>
      <c r="I78" s="16" t="s">
        <v>1384</v>
      </c>
      <c r="J78" s="16" t="s">
        <v>2171</v>
      </c>
      <c r="K78" s="5" t="s">
        <v>6</v>
      </c>
      <c r="L78" s="10" t="str">
        <f t="shared" ca="1" si="7"/>
        <v>Calibrado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" hidden="1" customHeight="1">
      <c r="A79" s="20" t="s">
        <v>658</v>
      </c>
      <c r="B79" s="5" t="s">
        <v>1506</v>
      </c>
      <c r="C79" s="39" t="s">
        <v>31</v>
      </c>
      <c r="D79" s="9" t="s">
        <v>1115</v>
      </c>
      <c r="E79" s="6">
        <v>45937</v>
      </c>
      <c r="F79" s="91">
        <f t="shared" si="8"/>
        <v>46326</v>
      </c>
      <c r="G79" s="80" t="s">
        <v>2063</v>
      </c>
      <c r="H79" s="78"/>
      <c r="I79" s="16" t="s">
        <v>1498</v>
      </c>
      <c r="J79" s="16"/>
      <c r="K79" s="5" t="s">
        <v>6</v>
      </c>
      <c r="L79" s="10" t="str">
        <f t="shared" ca="1" si="7"/>
        <v>Calibrado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" hidden="1" customHeight="1">
      <c r="A80" s="20" t="s">
        <v>234</v>
      </c>
      <c r="B80" s="5" t="s">
        <v>1506</v>
      </c>
      <c r="C80" s="39" t="s">
        <v>31</v>
      </c>
      <c r="D80" s="9" t="s">
        <v>617</v>
      </c>
      <c r="E80" s="6">
        <v>46150</v>
      </c>
      <c r="F80" s="91">
        <f>EOMONTH(E80,12)</f>
        <v>46538</v>
      </c>
      <c r="G80" s="80"/>
      <c r="H80" s="80"/>
      <c r="I80" s="16" t="s">
        <v>1264</v>
      </c>
      <c r="J80" s="16" t="s">
        <v>1930</v>
      </c>
      <c r="K80" s="5" t="s">
        <v>6</v>
      </c>
      <c r="L80" s="10" t="str">
        <f t="shared" ca="1" si="7"/>
        <v>Calibrado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" hidden="1" customHeight="1">
      <c r="A81" s="20" t="s">
        <v>235</v>
      </c>
      <c r="B81" s="5" t="s">
        <v>1506</v>
      </c>
      <c r="C81" s="30" t="s">
        <v>35</v>
      </c>
      <c r="D81" s="9" t="s">
        <v>10</v>
      </c>
      <c r="E81" s="6">
        <v>45992</v>
      </c>
      <c r="F81" s="91">
        <f>EOMONTH(E81,12)</f>
        <v>46387</v>
      </c>
      <c r="G81" s="80"/>
      <c r="H81" s="80"/>
      <c r="I81" s="16" t="s">
        <v>1600</v>
      </c>
      <c r="J81" s="16"/>
      <c r="K81" s="5" t="s">
        <v>6</v>
      </c>
      <c r="L81" s="10" t="str">
        <f t="shared" ca="1" si="7"/>
        <v>Calibrado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" hidden="1" customHeight="1">
      <c r="A82" s="20" t="s">
        <v>236</v>
      </c>
      <c r="B82" s="5" t="s">
        <v>1506</v>
      </c>
      <c r="C82" s="42" t="s">
        <v>7</v>
      </c>
      <c r="D82" s="9">
        <v>96901515</v>
      </c>
      <c r="E82" s="6">
        <v>46049</v>
      </c>
      <c r="F82" s="91">
        <f>EOMONTH(E82,12)</f>
        <v>46418</v>
      </c>
      <c r="G82" s="80"/>
      <c r="H82" s="80" t="s">
        <v>2066</v>
      </c>
      <c r="I82" s="16" t="s">
        <v>1032</v>
      </c>
      <c r="J82" s="16" t="s">
        <v>1748</v>
      </c>
      <c r="K82" s="5" t="s">
        <v>6</v>
      </c>
      <c r="L82" s="10" t="str">
        <f t="shared" ca="1" si="7"/>
        <v>Calibrado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" hidden="1" customHeight="1">
      <c r="A83" s="20" t="s">
        <v>659</v>
      </c>
      <c r="B83" s="5" t="s">
        <v>1506</v>
      </c>
      <c r="C83" s="42" t="s">
        <v>7</v>
      </c>
      <c r="D83" s="9" t="s">
        <v>660</v>
      </c>
      <c r="E83" s="6">
        <v>46108</v>
      </c>
      <c r="F83" s="91">
        <f>EOMONTH(E83,12)</f>
        <v>46477</v>
      </c>
      <c r="G83" s="80" t="s">
        <v>2063</v>
      </c>
      <c r="H83" s="80"/>
      <c r="I83" s="16" t="s">
        <v>1128</v>
      </c>
      <c r="J83" s="16" t="s">
        <v>1850</v>
      </c>
      <c r="K83" s="5" t="s">
        <v>6</v>
      </c>
      <c r="L83" s="10" t="str">
        <f t="shared" ca="1" si="7"/>
        <v>Calibrado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" hidden="1" customHeight="1">
      <c r="A84" s="20" t="s">
        <v>237</v>
      </c>
      <c r="B84" s="5" t="s">
        <v>1504</v>
      </c>
      <c r="C84" s="39" t="s">
        <v>31</v>
      </c>
      <c r="D84" s="9" t="s">
        <v>619</v>
      </c>
      <c r="E84" s="6">
        <v>46238</v>
      </c>
      <c r="F84" s="91">
        <f t="shared" ref="F84:F92" si="9">EOMONTH(E84,12)</f>
        <v>46630</v>
      </c>
      <c r="G84" s="80"/>
      <c r="H84" s="80" t="s">
        <v>2066</v>
      </c>
      <c r="I84" s="16" t="s">
        <v>1385</v>
      </c>
      <c r="J84" s="16" t="s">
        <v>2172</v>
      </c>
      <c r="K84" s="5" t="s">
        <v>6</v>
      </c>
      <c r="L84" s="10" t="str">
        <f t="shared" ca="1" si="7"/>
        <v>Calibrado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" hidden="1" customHeight="1">
      <c r="A85" s="20" t="s">
        <v>238</v>
      </c>
      <c r="B85" s="5" t="s">
        <v>1506</v>
      </c>
      <c r="C85" s="42" t="s">
        <v>7</v>
      </c>
      <c r="D85" s="9" t="s">
        <v>618</v>
      </c>
      <c r="E85" s="6">
        <v>46108</v>
      </c>
      <c r="F85" s="91">
        <f t="shared" si="9"/>
        <v>46477</v>
      </c>
      <c r="G85" s="80" t="s">
        <v>2062</v>
      </c>
      <c r="H85" s="80"/>
      <c r="I85" s="16" t="s">
        <v>1129</v>
      </c>
      <c r="J85" s="16" t="s">
        <v>1851</v>
      </c>
      <c r="K85" s="5" t="s">
        <v>6</v>
      </c>
      <c r="L85" s="10" t="str">
        <f t="shared" ca="1" si="7"/>
        <v>Calibrado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" hidden="1" customHeight="1">
      <c r="A86" s="20" t="s">
        <v>239</v>
      </c>
      <c r="B86" s="5" t="s">
        <v>1506</v>
      </c>
      <c r="C86" s="42" t="s">
        <v>7</v>
      </c>
      <c r="D86" s="9" t="s">
        <v>1225</v>
      </c>
      <c r="E86" s="6">
        <v>46164</v>
      </c>
      <c r="F86" s="91">
        <f t="shared" si="9"/>
        <v>46538</v>
      </c>
      <c r="G86" s="80"/>
      <c r="H86" s="80"/>
      <c r="I86" s="16" t="s">
        <v>1226</v>
      </c>
      <c r="J86" s="16" t="s">
        <v>1965</v>
      </c>
      <c r="K86" s="5" t="s">
        <v>6</v>
      </c>
      <c r="L86" s="10" t="str">
        <f t="shared" ca="1" si="7"/>
        <v>Calibrado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" hidden="1" customHeight="1">
      <c r="A87" s="20" t="s">
        <v>240</v>
      </c>
      <c r="B87" s="5" t="s">
        <v>1506</v>
      </c>
      <c r="C87" s="39" t="s">
        <v>31</v>
      </c>
      <c r="D87" s="9" t="s">
        <v>1116</v>
      </c>
      <c r="E87" s="6">
        <v>46151</v>
      </c>
      <c r="F87" s="91">
        <f t="shared" si="9"/>
        <v>46538</v>
      </c>
      <c r="G87" s="80"/>
      <c r="H87" s="80"/>
      <c r="I87" s="16" t="s">
        <v>1265</v>
      </c>
      <c r="J87" s="16" t="s">
        <v>1931</v>
      </c>
      <c r="K87" s="5" t="s">
        <v>6</v>
      </c>
      <c r="L87" s="10" t="str">
        <f t="shared" ca="1" si="7"/>
        <v>Calibrado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" hidden="1" customHeight="1">
      <c r="A88" s="20" t="s">
        <v>241</v>
      </c>
      <c r="B88" s="5" t="s">
        <v>1506</v>
      </c>
      <c r="C88" s="40" t="s">
        <v>62</v>
      </c>
      <c r="D88" s="9" t="s">
        <v>620</v>
      </c>
      <c r="E88" s="6">
        <v>46031</v>
      </c>
      <c r="F88" s="91">
        <f t="shared" si="9"/>
        <v>46418</v>
      </c>
      <c r="G88" s="80"/>
      <c r="H88" s="80" t="s">
        <v>2066</v>
      </c>
      <c r="I88" s="16" t="s">
        <v>995</v>
      </c>
      <c r="J88" s="16" t="s">
        <v>1657</v>
      </c>
      <c r="K88" s="5" t="s">
        <v>6</v>
      </c>
      <c r="L88" s="10" t="str">
        <f t="shared" ca="1" si="7"/>
        <v>Calibrado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" hidden="1" customHeight="1">
      <c r="A89" s="20" t="s">
        <v>242</v>
      </c>
      <c r="B89" s="5" t="s">
        <v>1506</v>
      </c>
      <c r="C89" s="40" t="s">
        <v>62</v>
      </c>
      <c r="D89" s="9" t="s">
        <v>621</v>
      </c>
      <c r="E89" s="6">
        <v>46031</v>
      </c>
      <c r="F89" s="91">
        <f t="shared" si="9"/>
        <v>46418</v>
      </c>
      <c r="G89" s="80"/>
      <c r="H89" s="80" t="s">
        <v>2066</v>
      </c>
      <c r="I89" s="16" t="s">
        <v>996</v>
      </c>
      <c r="J89" s="16" t="s">
        <v>1658</v>
      </c>
      <c r="K89" s="5" t="s">
        <v>6</v>
      </c>
      <c r="L89" s="10" t="str">
        <f t="shared" ca="1" si="7"/>
        <v>Calibrado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" hidden="1" customHeight="1">
      <c r="A90" s="20" t="s">
        <v>243</v>
      </c>
      <c r="B90" s="5" t="s">
        <v>1506</v>
      </c>
      <c r="C90" s="42" t="s">
        <v>7</v>
      </c>
      <c r="D90" s="9">
        <v>94763415</v>
      </c>
      <c r="E90" s="6">
        <v>46164</v>
      </c>
      <c r="F90" s="91">
        <f t="shared" si="9"/>
        <v>46538</v>
      </c>
      <c r="G90" s="80"/>
      <c r="H90" s="80"/>
      <c r="I90" s="16" t="s">
        <v>1227</v>
      </c>
      <c r="J90" s="16" t="s">
        <v>1966</v>
      </c>
      <c r="K90" s="5" t="s">
        <v>6</v>
      </c>
      <c r="L90" s="10" t="str">
        <f t="shared" ca="1" si="7"/>
        <v>Calibrado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" hidden="1" customHeight="1">
      <c r="A91" s="20" t="s">
        <v>244</v>
      </c>
      <c r="B91" s="5" t="s">
        <v>1505</v>
      </c>
      <c r="C91" s="5" t="s">
        <v>65</v>
      </c>
      <c r="D91" s="9" t="s">
        <v>622</v>
      </c>
      <c r="E91" s="6">
        <v>46156</v>
      </c>
      <c r="F91" s="91">
        <f t="shared" si="9"/>
        <v>46538</v>
      </c>
      <c r="G91" s="80"/>
      <c r="H91" s="80"/>
      <c r="I91" s="16" t="s">
        <v>1240</v>
      </c>
      <c r="J91" s="16" t="s">
        <v>1939</v>
      </c>
      <c r="K91" s="5" t="s">
        <v>6</v>
      </c>
      <c r="L91" s="10" t="str">
        <f t="shared" ca="1" si="7"/>
        <v>Calibrado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" hidden="1" customHeight="1">
      <c r="A92" s="20" t="s">
        <v>245</v>
      </c>
      <c r="B92" s="5" t="s">
        <v>1505</v>
      </c>
      <c r="C92" s="5" t="s">
        <v>65</v>
      </c>
      <c r="D92" s="9" t="s">
        <v>623</v>
      </c>
      <c r="E92" s="6">
        <v>46156</v>
      </c>
      <c r="F92" s="91">
        <f t="shared" si="9"/>
        <v>46538</v>
      </c>
      <c r="G92" s="80"/>
      <c r="H92" s="80"/>
      <c r="I92" s="16" t="s">
        <v>1241</v>
      </c>
      <c r="J92" s="16" t="s">
        <v>1940</v>
      </c>
      <c r="K92" s="5" t="s">
        <v>6</v>
      </c>
      <c r="L92" s="10" t="str">
        <f t="shared" ca="1" si="7"/>
        <v>Calibrado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" hidden="1" customHeight="1">
      <c r="A93" s="20" t="s">
        <v>661</v>
      </c>
      <c r="B93" s="88" t="s">
        <v>1506</v>
      </c>
      <c r="C93" s="22" t="s">
        <v>32</v>
      </c>
      <c r="D93" s="33" t="s">
        <v>662</v>
      </c>
      <c r="E93" s="52"/>
      <c r="F93" s="52"/>
      <c r="G93" s="81"/>
      <c r="H93" s="89" t="s">
        <v>2093</v>
      </c>
      <c r="I93" s="55"/>
      <c r="J93" s="55"/>
      <c r="K93" s="4" t="s">
        <v>109</v>
      </c>
      <c r="L93" s="10" t="str">
        <f t="shared" si="7"/>
        <v>INATIVO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" hidden="1" customHeight="1">
      <c r="A94" s="20" t="s">
        <v>248</v>
      </c>
      <c r="B94" s="5" t="s">
        <v>1506</v>
      </c>
      <c r="C94" s="42" t="s">
        <v>7</v>
      </c>
      <c r="D94" s="9">
        <v>94736428</v>
      </c>
      <c r="E94" s="6">
        <v>46165</v>
      </c>
      <c r="F94" s="91">
        <f t="shared" ref="F94:F100" si="10">EOMONTH(E94,12)</f>
        <v>46538</v>
      </c>
      <c r="G94" s="80"/>
      <c r="H94" s="80"/>
      <c r="I94" s="16" t="s">
        <v>1228</v>
      </c>
      <c r="J94" s="16" t="s">
        <v>1967</v>
      </c>
      <c r="K94" s="5" t="s">
        <v>6</v>
      </c>
      <c r="L94" s="10" t="str">
        <f t="shared" ca="1" si="7"/>
        <v>Calibrado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" hidden="1" customHeight="1">
      <c r="A95" s="20" t="s">
        <v>663</v>
      </c>
      <c r="B95" s="5" t="s">
        <v>1506</v>
      </c>
      <c r="C95" s="42" t="s">
        <v>7</v>
      </c>
      <c r="D95" s="9" t="s">
        <v>664</v>
      </c>
      <c r="E95" s="6">
        <v>46165</v>
      </c>
      <c r="F95" s="91">
        <f t="shared" si="10"/>
        <v>46538</v>
      </c>
      <c r="G95" s="80"/>
      <c r="H95" s="80"/>
      <c r="I95" s="16" t="s">
        <v>1229</v>
      </c>
      <c r="J95" s="16" t="s">
        <v>1968</v>
      </c>
      <c r="K95" s="5" t="s">
        <v>6</v>
      </c>
      <c r="L95" s="10" t="str">
        <f t="shared" ca="1" si="7"/>
        <v>Calibrado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" hidden="1" customHeight="1">
      <c r="A96" s="20" t="s">
        <v>249</v>
      </c>
      <c r="B96" s="5" t="s">
        <v>1506</v>
      </c>
      <c r="C96" s="42" t="s">
        <v>7</v>
      </c>
      <c r="D96" s="9">
        <v>52042712</v>
      </c>
      <c r="E96" s="6">
        <v>46165</v>
      </c>
      <c r="F96" s="91">
        <f t="shared" si="10"/>
        <v>46538</v>
      </c>
      <c r="G96" s="80"/>
      <c r="H96" s="80"/>
      <c r="I96" s="16" t="s">
        <v>1230</v>
      </c>
      <c r="J96" s="16" t="s">
        <v>1969</v>
      </c>
      <c r="K96" s="5" t="s">
        <v>6</v>
      </c>
      <c r="L96" s="10" t="str">
        <f t="shared" ca="1" si="7"/>
        <v>Calibrado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" hidden="1" customHeight="1">
      <c r="A97" s="20" t="s">
        <v>250</v>
      </c>
      <c r="B97" s="5" t="s">
        <v>1506</v>
      </c>
      <c r="C97" s="42" t="s">
        <v>7</v>
      </c>
      <c r="D97" s="9">
        <v>94736419</v>
      </c>
      <c r="E97" s="6">
        <v>46167</v>
      </c>
      <c r="F97" s="91">
        <f t="shared" si="10"/>
        <v>46538</v>
      </c>
      <c r="G97" s="80"/>
      <c r="H97" s="80"/>
      <c r="I97" s="16" t="s">
        <v>1231</v>
      </c>
      <c r="J97" s="16" t="s">
        <v>1970</v>
      </c>
      <c r="K97" s="5" t="s">
        <v>6</v>
      </c>
      <c r="L97" s="10" t="str">
        <f t="shared" ca="1" si="7"/>
        <v>Calibrado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" hidden="1" customHeight="1">
      <c r="A98" s="20" t="s">
        <v>251</v>
      </c>
      <c r="B98" s="5" t="s">
        <v>1506</v>
      </c>
      <c r="C98" s="42" t="s">
        <v>7</v>
      </c>
      <c r="D98" s="9" t="s">
        <v>665</v>
      </c>
      <c r="E98" s="6">
        <v>45950</v>
      </c>
      <c r="F98" s="91">
        <f t="shared" si="10"/>
        <v>46326</v>
      </c>
      <c r="G98" s="80" t="s">
        <v>2063</v>
      </c>
      <c r="H98" s="80"/>
      <c r="I98" s="16" t="s">
        <v>1527</v>
      </c>
      <c r="J98" s="16"/>
      <c r="K98" s="5" t="s">
        <v>6</v>
      </c>
      <c r="L98" s="10" t="str">
        <f t="shared" ca="1" si="7"/>
        <v>Calibrado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" hidden="1" customHeight="1">
      <c r="A99" s="20" t="s">
        <v>253</v>
      </c>
      <c r="B99" s="5" t="s">
        <v>1506</v>
      </c>
      <c r="C99" s="39" t="s">
        <v>31</v>
      </c>
      <c r="D99" s="9" t="s">
        <v>982</v>
      </c>
      <c r="E99" s="6">
        <v>46151</v>
      </c>
      <c r="F99" s="91">
        <f t="shared" si="10"/>
        <v>46538</v>
      </c>
      <c r="G99" s="80"/>
      <c r="H99" s="80"/>
      <c r="I99" s="16" t="s">
        <v>1266</v>
      </c>
      <c r="J99" s="16" t="s">
        <v>1932</v>
      </c>
      <c r="K99" s="5" t="s">
        <v>6</v>
      </c>
      <c r="L99" s="10" t="str">
        <f t="shared" ca="1" si="7"/>
        <v>Calibrado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" hidden="1" customHeight="1">
      <c r="A100" s="21" t="s">
        <v>259</v>
      </c>
      <c r="B100" s="5" t="s">
        <v>1505</v>
      </c>
      <c r="C100" s="5" t="s">
        <v>65</v>
      </c>
      <c r="D100" s="9" t="s">
        <v>622</v>
      </c>
      <c r="E100" s="6">
        <v>46006</v>
      </c>
      <c r="F100" s="91">
        <f t="shared" si="10"/>
        <v>46387</v>
      </c>
      <c r="G100" s="80"/>
      <c r="H100" s="80"/>
      <c r="I100" s="16" t="s">
        <v>1631</v>
      </c>
      <c r="J100" s="16"/>
      <c r="K100" s="5" t="s">
        <v>6</v>
      </c>
      <c r="L100" s="10" t="str">
        <f t="shared" ca="1" si="7"/>
        <v>Calibrado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" hidden="1" customHeight="1">
      <c r="A101" s="20" t="s">
        <v>254</v>
      </c>
      <c r="B101" s="5" t="s">
        <v>1506</v>
      </c>
      <c r="C101" s="42" t="s">
        <v>7</v>
      </c>
      <c r="D101" s="9" t="s">
        <v>666</v>
      </c>
      <c r="E101" s="6">
        <v>46174</v>
      </c>
      <c r="F101" s="91">
        <f t="shared" ref="F101:F117" si="11">EOMONTH(E101,12)</f>
        <v>46568</v>
      </c>
      <c r="G101" s="80" t="s">
        <v>2063</v>
      </c>
      <c r="H101" s="80"/>
      <c r="I101" s="16" t="s">
        <v>1287</v>
      </c>
      <c r="J101" s="16" t="s">
        <v>1986</v>
      </c>
      <c r="K101" s="5" t="s">
        <v>6</v>
      </c>
      <c r="L101" s="10" t="str">
        <f t="shared" ca="1" si="7"/>
        <v>Calibrado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" hidden="1" customHeight="1">
      <c r="A102" s="20" t="s">
        <v>255</v>
      </c>
      <c r="B102" s="5" t="s">
        <v>1506</v>
      </c>
      <c r="C102" s="22" t="s">
        <v>32</v>
      </c>
      <c r="D102" s="9" t="s">
        <v>667</v>
      </c>
      <c r="E102" s="6">
        <v>46149</v>
      </c>
      <c r="F102" s="91">
        <f t="shared" si="11"/>
        <v>46538</v>
      </c>
      <c r="G102" s="80"/>
      <c r="H102" s="80"/>
      <c r="I102" s="16" t="s">
        <v>1220</v>
      </c>
      <c r="J102" s="16" t="s">
        <v>1926</v>
      </c>
      <c r="K102" s="5" t="s">
        <v>6</v>
      </c>
      <c r="L102" s="10" t="str">
        <f t="shared" ca="1" si="7"/>
        <v>Calibrado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" hidden="1" customHeight="1">
      <c r="A103" s="21" t="s">
        <v>311</v>
      </c>
      <c r="B103" s="5" t="s">
        <v>1506</v>
      </c>
      <c r="C103" s="22" t="s">
        <v>32</v>
      </c>
      <c r="D103" s="5" t="s">
        <v>1298</v>
      </c>
      <c r="E103" s="6">
        <v>46095</v>
      </c>
      <c r="F103" s="91">
        <f t="shared" si="11"/>
        <v>46477</v>
      </c>
      <c r="G103" s="80" t="s">
        <v>2063</v>
      </c>
      <c r="H103" s="80"/>
      <c r="I103" s="16" t="s">
        <v>1105</v>
      </c>
      <c r="J103" s="16" t="s">
        <v>1826</v>
      </c>
      <c r="K103" s="5" t="s">
        <v>6</v>
      </c>
      <c r="L103" s="10" t="str">
        <f t="shared" ca="1" si="7"/>
        <v>Calibrado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" hidden="1" customHeight="1">
      <c r="A104" s="21" t="s">
        <v>312</v>
      </c>
      <c r="B104" s="5" t="s">
        <v>1506</v>
      </c>
      <c r="C104" s="22" t="s">
        <v>32</v>
      </c>
      <c r="D104" s="5" t="s">
        <v>1299</v>
      </c>
      <c r="E104" s="6">
        <v>46176</v>
      </c>
      <c r="F104" s="91">
        <f t="shared" si="11"/>
        <v>46568</v>
      </c>
      <c r="G104" s="80" t="s">
        <v>2063</v>
      </c>
      <c r="H104" s="80"/>
      <c r="I104" s="16" t="s">
        <v>1317</v>
      </c>
      <c r="J104" s="16" t="s">
        <v>1993</v>
      </c>
      <c r="K104" s="5" t="s">
        <v>6</v>
      </c>
      <c r="L104" s="10" t="str">
        <f t="shared" ca="1" si="7"/>
        <v>Calibrado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" hidden="1" customHeight="1">
      <c r="A105" s="21" t="s">
        <v>313</v>
      </c>
      <c r="B105" s="88" t="s">
        <v>1506</v>
      </c>
      <c r="C105" s="22" t="s">
        <v>32</v>
      </c>
      <c r="D105" s="5" t="s">
        <v>668</v>
      </c>
      <c r="E105" s="6">
        <v>46217</v>
      </c>
      <c r="F105" s="91">
        <f t="shared" si="11"/>
        <v>46599</v>
      </c>
      <c r="G105" s="80" t="s">
        <v>2063</v>
      </c>
      <c r="H105" s="89" t="s">
        <v>2082</v>
      </c>
      <c r="I105" s="16" t="s">
        <v>1351</v>
      </c>
      <c r="J105" s="16" t="s">
        <v>2081</v>
      </c>
      <c r="K105" s="5" t="s">
        <v>6</v>
      </c>
      <c r="L105" s="10" t="str">
        <f t="shared" ca="1" si="7"/>
        <v>Calibrado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" hidden="1" customHeight="1">
      <c r="A106" s="21" t="s">
        <v>314</v>
      </c>
      <c r="B106" s="5" t="s">
        <v>1506</v>
      </c>
      <c r="C106" s="22" t="s">
        <v>32</v>
      </c>
      <c r="D106" s="5" t="s">
        <v>669</v>
      </c>
      <c r="E106" s="6">
        <v>46097</v>
      </c>
      <c r="F106" s="91">
        <f t="shared" si="11"/>
        <v>46477</v>
      </c>
      <c r="G106" s="80" t="s">
        <v>2063</v>
      </c>
      <c r="H106" s="80"/>
      <c r="I106" s="16" t="s">
        <v>1106</v>
      </c>
      <c r="J106" s="16" t="s">
        <v>1827</v>
      </c>
      <c r="K106" s="5" t="s">
        <v>6</v>
      </c>
      <c r="L106" s="10" t="str">
        <f t="shared" ca="1" si="7"/>
        <v>Calibrado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" hidden="1" customHeight="1">
      <c r="A107" s="21" t="s">
        <v>315</v>
      </c>
      <c r="B107" s="5" t="s">
        <v>1504</v>
      </c>
      <c r="C107" s="5" t="s">
        <v>65</v>
      </c>
      <c r="D107" s="5">
        <v>552597070</v>
      </c>
      <c r="E107" s="6">
        <v>45922</v>
      </c>
      <c r="F107" s="91">
        <f t="shared" si="11"/>
        <v>46295</v>
      </c>
      <c r="G107" s="80" t="s">
        <v>2063</v>
      </c>
      <c r="H107" s="80"/>
      <c r="I107" s="16" t="s">
        <v>1475</v>
      </c>
      <c r="J107" s="16"/>
      <c r="K107" s="5" t="s">
        <v>6</v>
      </c>
      <c r="L107" s="10" t="str">
        <f t="shared" ca="1" si="7"/>
        <v>Calibrado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" hidden="1" customHeight="1">
      <c r="A108" s="21" t="s">
        <v>316</v>
      </c>
      <c r="B108" s="5" t="s">
        <v>1506</v>
      </c>
      <c r="C108" s="5" t="s">
        <v>65</v>
      </c>
      <c r="D108" s="9" t="s">
        <v>670</v>
      </c>
      <c r="E108" s="6">
        <v>46157</v>
      </c>
      <c r="F108" s="91">
        <f t="shared" si="11"/>
        <v>46538</v>
      </c>
      <c r="G108" s="80"/>
      <c r="H108" s="80"/>
      <c r="I108" s="16" t="s">
        <v>1242</v>
      </c>
      <c r="J108" s="16" t="s">
        <v>1941</v>
      </c>
      <c r="K108" s="5" t="s">
        <v>6</v>
      </c>
      <c r="L108" s="10" t="str">
        <f t="shared" ca="1" si="7"/>
        <v>Calibrado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" hidden="1" customHeight="1">
      <c r="A109" s="21" t="s">
        <v>317</v>
      </c>
      <c r="B109" s="5" t="s">
        <v>1506</v>
      </c>
      <c r="C109" s="5" t="s">
        <v>65</v>
      </c>
      <c r="D109" s="9">
        <v>518374650</v>
      </c>
      <c r="E109" s="6">
        <v>45922</v>
      </c>
      <c r="F109" s="91">
        <f t="shared" si="11"/>
        <v>46295</v>
      </c>
      <c r="G109" s="80" t="s">
        <v>2063</v>
      </c>
      <c r="H109" s="80"/>
      <c r="I109" s="16" t="s">
        <v>1476</v>
      </c>
      <c r="J109" s="16"/>
      <c r="K109" s="5" t="s">
        <v>6</v>
      </c>
      <c r="L109" s="10" t="str">
        <f t="shared" ca="1" si="7"/>
        <v>Calibrado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" hidden="1" customHeight="1">
      <c r="A110" s="21" t="s">
        <v>318</v>
      </c>
      <c r="B110" s="5" t="s">
        <v>1506</v>
      </c>
      <c r="C110" s="22" t="s">
        <v>32</v>
      </c>
      <c r="D110" s="9" t="s">
        <v>11</v>
      </c>
      <c r="E110" s="6">
        <v>45888</v>
      </c>
      <c r="F110" s="91">
        <f t="shared" si="11"/>
        <v>46265</v>
      </c>
      <c r="G110" s="80"/>
      <c r="H110" s="80"/>
      <c r="I110" s="16" t="s">
        <v>1411</v>
      </c>
      <c r="J110" s="16"/>
      <c r="K110" s="5" t="s">
        <v>6</v>
      </c>
      <c r="L110" s="10" t="str">
        <f t="shared" ca="1" si="7"/>
        <v>Calibrado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" hidden="1" customHeight="1">
      <c r="A111" s="21" t="s">
        <v>319</v>
      </c>
      <c r="B111" s="5" t="s">
        <v>1506</v>
      </c>
      <c r="C111" s="22" t="s">
        <v>32</v>
      </c>
      <c r="D111" s="9" t="s">
        <v>12</v>
      </c>
      <c r="E111" s="6">
        <v>45888</v>
      </c>
      <c r="F111" s="91">
        <f t="shared" si="11"/>
        <v>46265</v>
      </c>
      <c r="G111" s="80"/>
      <c r="H111" s="80"/>
      <c r="I111" s="16" t="s">
        <v>1412</v>
      </c>
      <c r="J111" s="16"/>
      <c r="K111" s="5" t="s">
        <v>6</v>
      </c>
      <c r="L111" s="10" t="str">
        <f t="shared" ca="1" si="7"/>
        <v>Calibrado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" hidden="1" customHeight="1">
      <c r="A112" s="21" t="s">
        <v>323</v>
      </c>
      <c r="B112" s="5" t="s">
        <v>1506</v>
      </c>
      <c r="C112" s="22" t="s">
        <v>32</v>
      </c>
      <c r="D112" s="9" t="s">
        <v>13</v>
      </c>
      <c r="E112" s="6">
        <v>46097</v>
      </c>
      <c r="F112" s="91">
        <f t="shared" si="11"/>
        <v>46477</v>
      </c>
      <c r="G112" s="80" t="s">
        <v>2062</v>
      </c>
      <c r="H112" s="80"/>
      <c r="I112" s="16" t="s">
        <v>1107</v>
      </c>
      <c r="J112" s="16" t="s">
        <v>1828</v>
      </c>
      <c r="K112" s="5" t="s">
        <v>6</v>
      </c>
      <c r="L112" s="10" t="str">
        <f t="shared" ca="1" si="7"/>
        <v>Calibrado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" hidden="1" customHeight="1">
      <c r="A113" s="21" t="s">
        <v>324</v>
      </c>
      <c r="B113" s="5" t="s">
        <v>1506</v>
      </c>
      <c r="C113" s="22" t="s">
        <v>32</v>
      </c>
      <c r="D113" s="9" t="s">
        <v>14</v>
      </c>
      <c r="E113" s="6">
        <v>46097</v>
      </c>
      <c r="F113" s="91">
        <f t="shared" si="11"/>
        <v>46477</v>
      </c>
      <c r="G113" s="80" t="s">
        <v>2062</v>
      </c>
      <c r="H113" s="80"/>
      <c r="I113" s="16" t="s">
        <v>1108</v>
      </c>
      <c r="J113" s="16" t="s">
        <v>1829</v>
      </c>
      <c r="K113" s="5" t="s">
        <v>6</v>
      </c>
      <c r="L113" s="10" t="str">
        <f t="shared" ca="1" si="7"/>
        <v>Calibrado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" hidden="1" customHeight="1">
      <c r="A114" s="21" t="s">
        <v>325</v>
      </c>
      <c r="B114" s="5" t="s">
        <v>1506</v>
      </c>
      <c r="C114" s="22" t="s">
        <v>32</v>
      </c>
      <c r="D114" s="9" t="s">
        <v>671</v>
      </c>
      <c r="E114" s="6">
        <v>46098</v>
      </c>
      <c r="F114" s="91">
        <f t="shared" si="11"/>
        <v>46477</v>
      </c>
      <c r="G114" s="80" t="s">
        <v>2063</v>
      </c>
      <c r="H114" s="80"/>
      <c r="I114" s="16" t="s">
        <v>1109</v>
      </c>
      <c r="J114" s="16" t="s">
        <v>1830</v>
      </c>
      <c r="K114" s="5" t="s">
        <v>6</v>
      </c>
      <c r="L114" s="10" t="str">
        <f t="shared" ca="1" si="7"/>
        <v>Calibrado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" hidden="1" customHeight="1">
      <c r="A115" s="21" t="s">
        <v>326</v>
      </c>
      <c r="B115" s="5" t="s">
        <v>1506</v>
      </c>
      <c r="C115" s="22" t="s">
        <v>32</v>
      </c>
      <c r="D115" s="9" t="s">
        <v>672</v>
      </c>
      <c r="E115" s="6">
        <v>46099</v>
      </c>
      <c r="F115" s="91">
        <f t="shared" si="11"/>
        <v>46477</v>
      </c>
      <c r="G115" s="80" t="s">
        <v>2062</v>
      </c>
      <c r="H115" s="80"/>
      <c r="I115" s="16" t="s">
        <v>1110</v>
      </c>
      <c r="J115" s="16" t="s">
        <v>1831</v>
      </c>
      <c r="K115" s="5" t="s">
        <v>6</v>
      </c>
      <c r="L115" s="10" t="str">
        <f t="shared" ca="1" si="7"/>
        <v>Calibrado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" hidden="1" customHeight="1">
      <c r="A116" s="21" t="s">
        <v>327</v>
      </c>
      <c r="B116" s="5" t="s">
        <v>1506</v>
      </c>
      <c r="C116" s="22" t="s">
        <v>32</v>
      </c>
      <c r="D116" s="9" t="s">
        <v>673</v>
      </c>
      <c r="E116" s="6">
        <v>46100</v>
      </c>
      <c r="F116" s="91">
        <f t="shared" si="11"/>
        <v>46477</v>
      </c>
      <c r="G116" s="80" t="s">
        <v>2063</v>
      </c>
      <c r="H116" s="80"/>
      <c r="I116" s="16" t="s">
        <v>1111</v>
      </c>
      <c r="J116" s="16" t="s">
        <v>1832</v>
      </c>
      <c r="K116" s="5" t="s">
        <v>6</v>
      </c>
      <c r="L116" s="10" t="str">
        <f t="shared" ca="1" si="7"/>
        <v>Calibrado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" hidden="1" customHeight="1">
      <c r="A117" s="21" t="s">
        <v>328</v>
      </c>
      <c r="B117" s="5" t="s">
        <v>1506</v>
      </c>
      <c r="C117" s="22" t="s">
        <v>32</v>
      </c>
      <c r="D117" s="9" t="s">
        <v>674</v>
      </c>
      <c r="E117" s="6">
        <v>46101</v>
      </c>
      <c r="F117" s="91">
        <f t="shared" si="11"/>
        <v>46477</v>
      </c>
      <c r="G117" s="80" t="s">
        <v>2062</v>
      </c>
      <c r="H117" s="80"/>
      <c r="I117" s="16" t="s">
        <v>1112</v>
      </c>
      <c r="J117" s="16" t="s">
        <v>1833</v>
      </c>
      <c r="K117" s="5" t="s">
        <v>6</v>
      </c>
      <c r="L117" s="10" t="str">
        <f t="shared" ca="1" si="7"/>
        <v>Calibrado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" hidden="1" customHeight="1">
      <c r="A118" s="20">
        <v>913</v>
      </c>
      <c r="B118" s="88" t="s">
        <v>1506</v>
      </c>
      <c r="C118" s="22" t="s">
        <v>32</v>
      </c>
      <c r="D118" s="33" t="s">
        <v>675</v>
      </c>
      <c r="E118" s="52"/>
      <c r="F118" s="52"/>
      <c r="G118" s="81"/>
      <c r="H118" s="89" t="s">
        <v>2094</v>
      </c>
      <c r="I118" s="55"/>
      <c r="J118" s="55"/>
      <c r="K118" s="4" t="s">
        <v>109</v>
      </c>
      <c r="L118" s="10" t="str">
        <f t="shared" si="7"/>
        <v>INATIVO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" hidden="1" customHeight="1">
      <c r="A119" s="21" t="s">
        <v>329</v>
      </c>
      <c r="B119" s="5" t="s">
        <v>1506</v>
      </c>
      <c r="C119" s="42" t="s">
        <v>7</v>
      </c>
      <c r="D119" s="9" t="s">
        <v>676</v>
      </c>
      <c r="E119" s="6">
        <v>46002</v>
      </c>
      <c r="F119" s="91">
        <f t="shared" ref="F119:F127" si="12">EOMONTH(E119,12)</f>
        <v>46387</v>
      </c>
      <c r="G119" s="80"/>
      <c r="H119" s="80"/>
      <c r="I119" s="16" t="s">
        <v>1622</v>
      </c>
      <c r="J119" s="16"/>
      <c r="K119" s="5" t="s">
        <v>6</v>
      </c>
      <c r="L119" s="10" t="str">
        <f t="shared" ca="1" si="7"/>
        <v>Calibrado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" hidden="1" customHeight="1">
      <c r="A120" s="21" t="s">
        <v>330</v>
      </c>
      <c r="B120" s="5" t="s">
        <v>1506</v>
      </c>
      <c r="C120" s="26" t="s">
        <v>33</v>
      </c>
      <c r="D120" s="9" t="s">
        <v>502</v>
      </c>
      <c r="E120" s="6">
        <v>46240</v>
      </c>
      <c r="F120" s="91">
        <f t="shared" si="12"/>
        <v>46630</v>
      </c>
      <c r="G120" s="80"/>
      <c r="H120" s="80" t="s">
        <v>2066</v>
      </c>
      <c r="I120" s="16" t="s">
        <v>1380</v>
      </c>
      <c r="J120" s="16" t="s">
        <v>2175</v>
      </c>
      <c r="K120" s="5" t="s">
        <v>6</v>
      </c>
      <c r="L120" s="10" t="str">
        <f t="shared" ca="1" si="7"/>
        <v>Calibrado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" hidden="1" customHeight="1">
      <c r="A121" s="21" t="s">
        <v>331</v>
      </c>
      <c r="B121" s="5" t="s">
        <v>1506</v>
      </c>
      <c r="C121" s="26" t="s">
        <v>33</v>
      </c>
      <c r="D121" s="9" t="s">
        <v>503</v>
      </c>
      <c r="E121" s="6">
        <v>46240</v>
      </c>
      <c r="F121" s="91">
        <f t="shared" si="12"/>
        <v>46630</v>
      </c>
      <c r="G121" s="80"/>
      <c r="H121" s="80" t="s">
        <v>2066</v>
      </c>
      <c r="I121" s="16" t="s">
        <v>1381</v>
      </c>
      <c r="J121" s="16" t="s">
        <v>2176</v>
      </c>
      <c r="K121" s="5" t="s">
        <v>6</v>
      </c>
      <c r="L121" s="10" t="str">
        <f t="shared" ca="1" si="7"/>
        <v>Calibrado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" hidden="1" customHeight="1">
      <c r="A122" s="21" t="s">
        <v>332</v>
      </c>
      <c r="B122" s="88" t="s">
        <v>1506</v>
      </c>
      <c r="C122" s="26" t="s">
        <v>33</v>
      </c>
      <c r="D122" s="9" t="s">
        <v>504</v>
      </c>
      <c r="E122" s="6">
        <v>46027</v>
      </c>
      <c r="F122" s="91">
        <f t="shared" si="12"/>
        <v>46418</v>
      </c>
      <c r="G122" s="80"/>
      <c r="H122" s="89" t="s">
        <v>2067</v>
      </c>
      <c r="I122" s="16" t="s">
        <v>993</v>
      </c>
      <c r="J122" s="16" t="s">
        <v>1647</v>
      </c>
      <c r="K122" s="5" t="s">
        <v>6</v>
      </c>
      <c r="L122" s="10" t="str">
        <f t="shared" ca="1" si="7"/>
        <v>Calibrado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" hidden="1" customHeight="1">
      <c r="A123" s="21" t="s">
        <v>333</v>
      </c>
      <c r="B123" s="5" t="s">
        <v>1506</v>
      </c>
      <c r="C123" s="26" t="s">
        <v>33</v>
      </c>
      <c r="D123" s="9" t="s">
        <v>635</v>
      </c>
      <c r="E123" s="6">
        <v>46027</v>
      </c>
      <c r="F123" s="91">
        <f t="shared" si="12"/>
        <v>46418</v>
      </c>
      <c r="G123" s="80"/>
      <c r="H123" s="80" t="s">
        <v>2066</v>
      </c>
      <c r="I123" s="16" t="s">
        <v>994</v>
      </c>
      <c r="J123" s="16" t="s">
        <v>1648</v>
      </c>
      <c r="K123" s="5" t="s">
        <v>6</v>
      </c>
      <c r="L123" s="10" t="str">
        <f t="shared" ca="1" si="7"/>
        <v>Calibrado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" hidden="1" customHeight="1">
      <c r="A124" s="21" t="s">
        <v>334</v>
      </c>
      <c r="B124" s="5" t="s">
        <v>1506</v>
      </c>
      <c r="C124" s="5" t="s">
        <v>65</v>
      </c>
      <c r="D124" s="9">
        <v>520145150</v>
      </c>
      <c r="E124" s="6">
        <v>46191</v>
      </c>
      <c r="F124" s="91">
        <f t="shared" si="12"/>
        <v>46568</v>
      </c>
      <c r="G124" s="80" t="s">
        <v>2063</v>
      </c>
      <c r="H124" s="80"/>
      <c r="I124" s="16" t="s">
        <v>1305</v>
      </c>
      <c r="J124" s="16" t="s">
        <v>2024</v>
      </c>
      <c r="K124" s="5" t="s">
        <v>6</v>
      </c>
      <c r="L124" s="10" t="str">
        <f t="shared" ca="1" si="7"/>
        <v>Calibrado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" hidden="1" customHeight="1">
      <c r="A125" s="21" t="s">
        <v>335</v>
      </c>
      <c r="B125" s="88" t="s">
        <v>1506</v>
      </c>
      <c r="C125" s="42" t="s">
        <v>7</v>
      </c>
      <c r="D125" s="5" t="s">
        <v>677</v>
      </c>
      <c r="E125" s="6">
        <v>46241</v>
      </c>
      <c r="F125" s="91">
        <f t="shared" si="12"/>
        <v>46630</v>
      </c>
      <c r="G125" s="80"/>
      <c r="H125" s="89" t="s">
        <v>2181</v>
      </c>
      <c r="I125" s="16" t="s">
        <v>1425</v>
      </c>
      <c r="J125" s="16" t="s">
        <v>2180</v>
      </c>
      <c r="K125" s="5" t="s">
        <v>6</v>
      </c>
      <c r="L125" s="10" t="str">
        <f t="shared" ca="1" si="7"/>
        <v>Calibrado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" hidden="1" customHeight="1">
      <c r="A126" s="21" t="s">
        <v>336</v>
      </c>
      <c r="B126" s="5" t="s">
        <v>1506</v>
      </c>
      <c r="C126" s="22" t="s">
        <v>32</v>
      </c>
      <c r="D126" s="5" t="s">
        <v>678</v>
      </c>
      <c r="E126" s="6">
        <v>45938</v>
      </c>
      <c r="F126" s="91">
        <f t="shared" si="12"/>
        <v>46326</v>
      </c>
      <c r="G126" s="80" t="s">
        <v>2062</v>
      </c>
      <c r="H126" s="80"/>
      <c r="I126" s="16" t="s">
        <v>1501</v>
      </c>
      <c r="J126" s="16"/>
      <c r="K126" s="5" t="s">
        <v>6</v>
      </c>
      <c r="L126" s="10" t="str">
        <f t="shared" ca="1" si="7"/>
        <v>Calibrado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" hidden="1" customHeight="1">
      <c r="A127" s="21" t="s">
        <v>337</v>
      </c>
      <c r="B127" s="5" t="s">
        <v>1506</v>
      </c>
      <c r="C127" s="5" t="s">
        <v>65</v>
      </c>
      <c r="D127" s="9" t="s">
        <v>680</v>
      </c>
      <c r="E127" s="6">
        <v>45986</v>
      </c>
      <c r="F127" s="91">
        <f t="shared" si="12"/>
        <v>46356</v>
      </c>
      <c r="G127" s="80"/>
      <c r="H127" s="80"/>
      <c r="I127" s="16" t="s">
        <v>1589</v>
      </c>
      <c r="J127" s="16"/>
      <c r="K127" s="5" t="s">
        <v>6</v>
      </c>
      <c r="L127" s="10" t="str">
        <f t="shared" ca="1" si="7"/>
        <v>Calibrado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" hidden="1" customHeight="1">
      <c r="A128" s="20" t="s">
        <v>679</v>
      </c>
      <c r="B128" s="88" t="s">
        <v>1506</v>
      </c>
      <c r="C128" s="5" t="s">
        <v>65</v>
      </c>
      <c r="D128" s="33" t="s">
        <v>961</v>
      </c>
      <c r="E128" s="52"/>
      <c r="F128" s="52"/>
      <c r="G128" s="81"/>
      <c r="H128" s="89" t="s">
        <v>2095</v>
      </c>
      <c r="I128" s="55"/>
      <c r="J128" s="55"/>
      <c r="K128" s="4" t="s">
        <v>109</v>
      </c>
      <c r="L128" s="10" t="str">
        <f t="shared" si="7"/>
        <v>INATIVO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" hidden="1" customHeight="1">
      <c r="A129" s="21" t="s">
        <v>338</v>
      </c>
      <c r="B129" s="5" t="s">
        <v>1506</v>
      </c>
      <c r="C129" s="5" t="s">
        <v>65</v>
      </c>
      <c r="D129" s="9">
        <v>518374410</v>
      </c>
      <c r="E129" s="6">
        <v>45923</v>
      </c>
      <c r="F129" s="91">
        <f>EOMONTH(E129,12)</f>
        <v>46295</v>
      </c>
      <c r="G129" s="80" t="s">
        <v>2063</v>
      </c>
      <c r="H129" s="80"/>
      <c r="I129" s="16" t="s">
        <v>1477</v>
      </c>
      <c r="J129" s="16"/>
      <c r="K129" s="5" t="s">
        <v>6</v>
      </c>
      <c r="L129" s="10" t="str">
        <f t="shared" ca="1" si="7"/>
        <v>Calibrado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" hidden="1" customHeight="1">
      <c r="A130" s="21" t="s">
        <v>339</v>
      </c>
      <c r="B130" s="88" t="s">
        <v>1506</v>
      </c>
      <c r="C130" s="22" t="s">
        <v>32</v>
      </c>
      <c r="D130" s="9" t="s">
        <v>15</v>
      </c>
      <c r="E130" s="6">
        <v>46032</v>
      </c>
      <c r="F130" s="91">
        <f>EOMONTH(E130,12)</f>
        <v>46418</v>
      </c>
      <c r="G130" s="80"/>
      <c r="H130" s="89" t="s">
        <v>2069</v>
      </c>
      <c r="I130" s="16" t="s">
        <v>1007</v>
      </c>
      <c r="J130" s="16" t="s">
        <v>1659</v>
      </c>
      <c r="K130" s="5" t="s">
        <v>6</v>
      </c>
      <c r="L130" s="10" t="str">
        <f t="shared" ca="1" si="7"/>
        <v>Calibrado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" hidden="1" customHeight="1">
      <c r="A131" s="20" t="s">
        <v>681</v>
      </c>
      <c r="B131" s="5" t="s">
        <v>1506</v>
      </c>
      <c r="C131" s="22" t="s">
        <v>32</v>
      </c>
      <c r="D131" s="33" t="s">
        <v>682</v>
      </c>
      <c r="E131" s="52"/>
      <c r="F131" s="52"/>
      <c r="G131" s="81"/>
      <c r="H131" s="81"/>
      <c r="I131" s="55"/>
      <c r="J131" s="55"/>
      <c r="K131" s="4" t="s">
        <v>109</v>
      </c>
      <c r="L131" s="10" t="str">
        <f t="shared" ref="L131:L194" si="13">IF(K131="TERCEIRO","TERCEIRO",IF(K131="EM MODIF.","EM MODIF.",IF(K131="INATIVO","INATIVO",IF($E131="","Desenvolvimento",IF($F131&lt;$M$1,"Atrasado","Calibrado")))))</f>
        <v>INATIVO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" hidden="1" customHeight="1">
      <c r="A132" s="21" t="s">
        <v>340</v>
      </c>
      <c r="B132" s="5" t="s">
        <v>1506</v>
      </c>
      <c r="C132" s="42" t="s">
        <v>7</v>
      </c>
      <c r="D132" s="9" t="s">
        <v>683</v>
      </c>
      <c r="E132" s="6">
        <v>46167</v>
      </c>
      <c r="F132" s="91">
        <f t="shared" ref="F132:F152" si="14">EOMONTH(E132,12)</f>
        <v>46538</v>
      </c>
      <c r="G132" s="80"/>
      <c r="H132" s="80"/>
      <c r="I132" s="16" t="s">
        <v>1232</v>
      </c>
      <c r="J132" s="16" t="s">
        <v>1971</v>
      </c>
      <c r="K132" s="5" t="s">
        <v>6</v>
      </c>
      <c r="L132" s="10" t="str">
        <f t="shared" ca="1" si="13"/>
        <v>Calibrado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" hidden="1" customHeight="1">
      <c r="A133" s="21" t="s">
        <v>341</v>
      </c>
      <c r="B133" s="5" t="s">
        <v>1506</v>
      </c>
      <c r="C133" s="5" t="s">
        <v>65</v>
      </c>
      <c r="D133" s="9">
        <v>51836044</v>
      </c>
      <c r="E133" s="6">
        <v>45986</v>
      </c>
      <c r="F133" s="91">
        <f t="shared" si="14"/>
        <v>46356</v>
      </c>
      <c r="G133" s="80"/>
      <c r="H133" s="80"/>
      <c r="I133" s="16" t="s">
        <v>1590</v>
      </c>
      <c r="J133" s="16"/>
      <c r="K133" s="5" t="s">
        <v>6</v>
      </c>
      <c r="L133" s="10" t="str">
        <f t="shared" ca="1" si="13"/>
        <v>Calibrado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" hidden="1" customHeight="1">
      <c r="A134" s="21" t="s">
        <v>342</v>
      </c>
      <c r="B134" s="5" t="s">
        <v>1506</v>
      </c>
      <c r="C134" s="5" t="s">
        <v>65</v>
      </c>
      <c r="D134" s="9">
        <v>518907540</v>
      </c>
      <c r="E134" s="6">
        <v>45987</v>
      </c>
      <c r="F134" s="91">
        <f t="shared" si="14"/>
        <v>46356</v>
      </c>
      <c r="G134" s="80"/>
      <c r="H134" s="80"/>
      <c r="I134" s="16" t="s">
        <v>1591</v>
      </c>
      <c r="J134" s="16"/>
      <c r="K134" s="5" t="s">
        <v>6</v>
      </c>
      <c r="L134" s="10" t="str">
        <f t="shared" ca="1" si="13"/>
        <v>Calibrado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" hidden="1" customHeight="1">
      <c r="A135" s="21" t="s">
        <v>343</v>
      </c>
      <c r="B135" s="5" t="s">
        <v>1506</v>
      </c>
      <c r="C135" s="5" t="s">
        <v>65</v>
      </c>
      <c r="D135" s="9" t="s">
        <v>684</v>
      </c>
      <c r="E135" s="6">
        <v>46157</v>
      </c>
      <c r="F135" s="91">
        <f t="shared" si="14"/>
        <v>46538</v>
      </c>
      <c r="G135" s="80"/>
      <c r="H135" s="80"/>
      <c r="I135" s="16" t="s">
        <v>1243</v>
      </c>
      <c r="J135" s="16" t="s">
        <v>1942</v>
      </c>
      <c r="K135" s="5" t="s">
        <v>6</v>
      </c>
      <c r="L135" s="10" t="str">
        <f t="shared" ca="1" si="13"/>
        <v>Calibrado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" hidden="1" customHeight="1">
      <c r="A136" s="21" t="s">
        <v>344</v>
      </c>
      <c r="B136" s="5" t="s">
        <v>1506</v>
      </c>
      <c r="C136" s="42" t="s">
        <v>7</v>
      </c>
      <c r="D136" s="9">
        <v>52120740</v>
      </c>
      <c r="E136" s="6">
        <v>46109</v>
      </c>
      <c r="F136" s="91">
        <f t="shared" si="14"/>
        <v>46477</v>
      </c>
      <c r="G136" s="80" t="s">
        <v>2063</v>
      </c>
      <c r="H136" s="80"/>
      <c r="I136" s="16" t="s">
        <v>1131</v>
      </c>
      <c r="J136" s="16" t="s">
        <v>1852</v>
      </c>
      <c r="K136" s="5" t="s">
        <v>6</v>
      </c>
      <c r="L136" s="10" t="str">
        <f t="shared" ca="1" si="13"/>
        <v>Calibrado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" hidden="1" customHeight="1">
      <c r="A137" s="21" t="s">
        <v>345</v>
      </c>
      <c r="B137" s="5" t="s">
        <v>1506</v>
      </c>
      <c r="C137" s="42" t="s">
        <v>7</v>
      </c>
      <c r="D137" s="9" t="s">
        <v>685</v>
      </c>
      <c r="E137" s="6">
        <v>46167</v>
      </c>
      <c r="F137" s="91">
        <f t="shared" si="14"/>
        <v>46538</v>
      </c>
      <c r="G137" s="80"/>
      <c r="H137" s="80"/>
      <c r="I137" s="16" t="s">
        <v>1233</v>
      </c>
      <c r="J137" s="16" t="s">
        <v>1972</v>
      </c>
      <c r="K137" s="5" t="s">
        <v>6</v>
      </c>
      <c r="L137" s="10" t="str">
        <f t="shared" ca="1" si="13"/>
        <v>Calibrado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" hidden="1" customHeight="1">
      <c r="A138" s="21" t="s">
        <v>346</v>
      </c>
      <c r="B138" s="5" t="s">
        <v>1506</v>
      </c>
      <c r="C138" s="5" t="s">
        <v>65</v>
      </c>
      <c r="D138" s="9">
        <v>520182170</v>
      </c>
      <c r="E138" s="6">
        <v>46191</v>
      </c>
      <c r="F138" s="91">
        <f t="shared" si="14"/>
        <v>46568</v>
      </c>
      <c r="G138" s="80" t="s">
        <v>2063</v>
      </c>
      <c r="H138" s="80"/>
      <c r="I138" s="16" t="s">
        <v>1306</v>
      </c>
      <c r="J138" s="16" t="s">
        <v>2025</v>
      </c>
      <c r="K138" s="5" t="s">
        <v>6</v>
      </c>
      <c r="L138" s="10" t="str">
        <f t="shared" ca="1" si="13"/>
        <v>Calibrado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" hidden="1" customHeight="1">
      <c r="A139" s="21" t="s">
        <v>347</v>
      </c>
      <c r="B139" s="5" t="s">
        <v>1506</v>
      </c>
      <c r="C139" s="24" t="s">
        <v>498</v>
      </c>
      <c r="D139" s="9" t="s">
        <v>632</v>
      </c>
      <c r="E139" s="6">
        <v>46084</v>
      </c>
      <c r="F139" s="91">
        <f t="shared" si="14"/>
        <v>46477</v>
      </c>
      <c r="G139" s="80" t="s">
        <v>2062</v>
      </c>
      <c r="H139" s="80"/>
      <c r="I139" s="16" t="s">
        <v>1099</v>
      </c>
      <c r="J139" s="16" t="s">
        <v>1807</v>
      </c>
      <c r="K139" s="5" t="s">
        <v>6</v>
      </c>
      <c r="L139" s="10" t="str">
        <f t="shared" ca="1" si="13"/>
        <v>Calibrado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" hidden="1" customHeight="1">
      <c r="A140" s="21" t="s">
        <v>348</v>
      </c>
      <c r="B140" s="5" t="s">
        <v>1506</v>
      </c>
      <c r="C140" s="5" t="s">
        <v>65</v>
      </c>
      <c r="D140" s="9" t="s">
        <v>686</v>
      </c>
      <c r="E140" s="6">
        <v>46220</v>
      </c>
      <c r="F140" s="91">
        <f t="shared" si="14"/>
        <v>46599</v>
      </c>
      <c r="G140" s="80" t="s">
        <v>2062</v>
      </c>
      <c r="H140" s="80" t="s">
        <v>2066</v>
      </c>
      <c r="I140" s="16" t="s">
        <v>1356</v>
      </c>
      <c r="J140" s="16" t="s">
        <v>2099</v>
      </c>
      <c r="K140" s="5" t="s">
        <v>6</v>
      </c>
      <c r="L140" s="10" t="str">
        <f t="shared" ca="1" si="13"/>
        <v>Calibrado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" hidden="1" customHeight="1">
      <c r="A141" s="21" t="s">
        <v>349</v>
      </c>
      <c r="B141" s="5" t="s">
        <v>1506</v>
      </c>
      <c r="C141" s="5" t="s">
        <v>65</v>
      </c>
      <c r="D141" s="9" t="s">
        <v>687</v>
      </c>
      <c r="E141" s="6">
        <v>46220</v>
      </c>
      <c r="F141" s="91">
        <f t="shared" si="14"/>
        <v>46599</v>
      </c>
      <c r="G141" s="80" t="s">
        <v>2062</v>
      </c>
      <c r="H141" s="80" t="s">
        <v>2066</v>
      </c>
      <c r="I141" s="16" t="s">
        <v>1357</v>
      </c>
      <c r="J141" s="16" t="s">
        <v>2100</v>
      </c>
      <c r="K141" s="5" t="s">
        <v>6</v>
      </c>
      <c r="L141" s="10" t="str">
        <f t="shared" ca="1" si="13"/>
        <v>Calibrado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" hidden="1" customHeight="1">
      <c r="A142" s="21" t="s">
        <v>350</v>
      </c>
      <c r="B142" s="88" t="s">
        <v>1506</v>
      </c>
      <c r="C142" s="22" t="s">
        <v>32</v>
      </c>
      <c r="D142" s="9" t="s">
        <v>688</v>
      </c>
      <c r="E142" s="6">
        <v>46217</v>
      </c>
      <c r="F142" s="91">
        <f t="shared" si="14"/>
        <v>46599</v>
      </c>
      <c r="G142" s="80" t="s">
        <v>2062</v>
      </c>
      <c r="H142" s="89" t="s">
        <v>2084</v>
      </c>
      <c r="I142" s="16" t="s">
        <v>1352</v>
      </c>
      <c r="J142" s="16" t="s">
        <v>2083</v>
      </c>
      <c r="K142" s="5" t="s">
        <v>6</v>
      </c>
      <c r="L142" s="10" t="str">
        <f t="shared" ca="1" si="13"/>
        <v>Calibrado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" hidden="1" customHeight="1">
      <c r="A143" s="21" t="s">
        <v>351</v>
      </c>
      <c r="B143" s="5" t="s">
        <v>1506</v>
      </c>
      <c r="C143" s="22" t="s">
        <v>32</v>
      </c>
      <c r="D143" s="9" t="s">
        <v>16</v>
      </c>
      <c r="E143" s="6">
        <v>46217</v>
      </c>
      <c r="F143" s="91">
        <f t="shared" si="14"/>
        <v>46599</v>
      </c>
      <c r="G143" s="80" t="s">
        <v>2063</v>
      </c>
      <c r="H143" s="80" t="s">
        <v>2066</v>
      </c>
      <c r="I143" s="16" t="s">
        <v>1353</v>
      </c>
      <c r="J143" s="16" t="s">
        <v>2085</v>
      </c>
      <c r="K143" s="5" t="s">
        <v>6</v>
      </c>
      <c r="L143" s="10" t="str">
        <f t="shared" ca="1" si="13"/>
        <v>Calibrado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" hidden="1" customHeight="1">
      <c r="A144" s="21" t="s">
        <v>352</v>
      </c>
      <c r="B144" s="5" t="s">
        <v>1506</v>
      </c>
      <c r="C144" s="5" t="s">
        <v>65</v>
      </c>
      <c r="D144" s="9" t="s">
        <v>689</v>
      </c>
      <c r="E144" s="6">
        <v>46220</v>
      </c>
      <c r="F144" s="91">
        <f t="shared" si="14"/>
        <v>46599</v>
      </c>
      <c r="G144" s="80" t="s">
        <v>2062</v>
      </c>
      <c r="H144" s="80" t="s">
        <v>2066</v>
      </c>
      <c r="I144" s="16" t="s">
        <v>1358</v>
      </c>
      <c r="J144" s="16" t="s">
        <v>2101</v>
      </c>
      <c r="K144" s="5" t="s">
        <v>6</v>
      </c>
      <c r="L144" s="10" t="str">
        <f t="shared" ca="1" si="13"/>
        <v>Calibrado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" hidden="1" customHeight="1">
      <c r="A145" s="20" t="s">
        <v>111</v>
      </c>
      <c r="B145" s="5" t="s">
        <v>1506</v>
      </c>
      <c r="C145" s="22" t="s">
        <v>32</v>
      </c>
      <c r="D145" s="9" t="s">
        <v>690</v>
      </c>
      <c r="E145" s="6">
        <v>45889</v>
      </c>
      <c r="F145" s="91">
        <f t="shared" si="14"/>
        <v>46265</v>
      </c>
      <c r="G145" s="80"/>
      <c r="H145" s="80"/>
      <c r="I145" s="16" t="s">
        <v>1413</v>
      </c>
      <c r="J145" s="16"/>
      <c r="K145" s="5" t="s">
        <v>6</v>
      </c>
      <c r="L145" s="10" t="str">
        <f t="shared" ca="1" si="13"/>
        <v>Calibrado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" hidden="1" customHeight="1">
      <c r="A146" s="20" t="s">
        <v>112</v>
      </c>
      <c r="B146" s="5" t="s">
        <v>1506</v>
      </c>
      <c r="C146" s="22" t="s">
        <v>32</v>
      </c>
      <c r="D146" s="9" t="s">
        <v>691</v>
      </c>
      <c r="E146" s="6">
        <v>45890</v>
      </c>
      <c r="F146" s="91">
        <f t="shared" si="14"/>
        <v>46265</v>
      </c>
      <c r="G146" s="80"/>
      <c r="H146" s="80"/>
      <c r="I146" s="16" t="s">
        <v>1414</v>
      </c>
      <c r="J146" s="16"/>
      <c r="K146" s="5" t="s">
        <v>6</v>
      </c>
      <c r="L146" s="10" t="str">
        <f t="shared" ca="1" si="13"/>
        <v>Calibrado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" hidden="1" customHeight="1">
      <c r="A147" s="21" t="s">
        <v>353</v>
      </c>
      <c r="B147" s="5" t="s">
        <v>1506</v>
      </c>
      <c r="C147" s="5" t="s">
        <v>65</v>
      </c>
      <c r="D147" s="9" t="s">
        <v>693</v>
      </c>
      <c r="E147" s="6">
        <v>46223</v>
      </c>
      <c r="F147" s="91">
        <f t="shared" si="14"/>
        <v>46599</v>
      </c>
      <c r="G147" s="80" t="s">
        <v>2062</v>
      </c>
      <c r="H147" s="80" t="s">
        <v>2066</v>
      </c>
      <c r="I147" s="16" t="s">
        <v>1359</v>
      </c>
      <c r="J147" s="16" t="s">
        <v>2102</v>
      </c>
      <c r="K147" s="5" t="s">
        <v>6</v>
      </c>
      <c r="L147" s="10" t="str">
        <f t="shared" ca="1" si="13"/>
        <v>Calibrado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" hidden="1" customHeight="1">
      <c r="A148" s="21" t="s">
        <v>354</v>
      </c>
      <c r="B148" s="88" t="s">
        <v>1506</v>
      </c>
      <c r="C148" s="5" t="s">
        <v>65</v>
      </c>
      <c r="D148" s="9" t="s">
        <v>692</v>
      </c>
      <c r="E148" s="6">
        <v>46223</v>
      </c>
      <c r="F148" s="91">
        <f t="shared" si="14"/>
        <v>46599</v>
      </c>
      <c r="G148" s="80" t="s">
        <v>2062</v>
      </c>
      <c r="H148" s="89" t="s">
        <v>2065</v>
      </c>
      <c r="I148" s="16" t="s">
        <v>1362</v>
      </c>
      <c r="J148" s="16" t="s">
        <v>2103</v>
      </c>
      <c r="K148" s="5" t="s">
        <v>6</v>
      </c>
      <c r="L148" s="10" t="str">
        <f t="shared" ca="1" si="13"/>
        <v>Calibrado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" hidden="1" customHeight="1">
      <c r="A149" s="21" t="s">
        <v>355</v>
      </c>
      <c r="B149" s="5" t="s">
        <v>1506</v>
      </c>
      <c r="C149" s="22" t="s">
        <v>32</v>
      </c>
      <c r="D149" s="9" t="s">
        <v>694</v>
      </c>
      <c r="E149" s="6">
        <v>46176</v>
      </c>
      <c r="F149" s="91">
        <f t="shared" si="14"/>
        <v>46568</v>
      </c>
      <c r="G149" s="80" t="s">
        <v>2062</v>
      </c>
      <c r="H149" s="80"/>
      <c r="I149" s="16" t="s">
        <v>1318</v>
      </c>
      <c r="J149" s="16" t="s">
        <v>1994</v>
      </c>
      <c r="K149" s="5" t="s">
        <v>6</v>
      </c>
      <c r="L149" s="10" t="str">
        <f t="shared" ca="1" si="13"/>
        <v>Calibrado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" hidden="1" customHeight="1">
      <c r="A150" s="21" t="s">
        <v>356</v>
      </c>
      <c r="B150" s="5" t="s">
        <v>1506</v>
      </c>
      <c r="C150" s="22" t="s">
        <v>32</v>
      </c>
      <c r="D150" s="9" t="s">
        <v>695</v>
      </c>
      <c r="E150" s="6">
        <v>45940</v>
      </c>
      <c r="F150" s="91">
        <f t="shared" si="14"/>
        <v>46326</v>
      </c>
      <c r="G150" s="80" t="s">
        <v>2062</v>
      </c>
      <c r="H150" s="80"/>
      <c r="I150" s="16" t="s">
        <v>1507</v>
      </c>
      <c r="J150" s="16"/>
      <c r="K150" s="5" t="s">
        <v>6</v>
      </c>
      <c r="L150" s="10" t="str">
        <f t="shared" ca="1" si="13"/>
        <v>Calibrado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" hidden="1" customHeight="1">
      <c r="A151" s="21" t="s">
        <v>357</v>
      </c>
      <c r="B151" s="5" t="s">
        <v>1506</v>
      </c>
      <c r="C151" s="5" t="s">
        <v>65</v>
      </c>
      <c r="D151" s="9" t="s">
        <v>696</v>
      </c>
      <c r="E151" s="6">
        <v>45952</v>
      </c>
      <c r="F151" s="91">
        <f t="shared" si="14"/>
        <v>46326</v>
      </c>
      <c r="G151" s="80" t="s">
        <v>2063</v>
      </c>
      <c r="H151" s="80"/>
      <c r="I151" s="16" t="s">
        <v>1531</v>
      </c>
      <c r="J151" s="16"/>
      <c r="K151" s="5" t="s">
        <v>6</v>
      </c>
      <c r="L151" s="10" t="str">
        <f t="shared" ca="1" si="13"/>
        <v>Calibrado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" hidden="1" customHeight="1">
      <c r="A152" s="21" t="s">
        <v>359</v>
      </c>
      <c r="B152" s="5" t="s">
        <v>1506</v>
      </c>
      <c r="C152" s="5" t="s">
        <v>65</v>
      </c>
      <c r="D152" s="9">
        <v>520573090</v>
      </c>
      <c r="E152" s="6">
        <v>45988</v>
      </c>
      <c r="F152" s="91">
        <f t="shared" si="14"/>
        <v>46356</v>
      </c>
      <c r="G152" s="80"/>
      <c r="H152" s="80"/>
      <c r="I152" s="16" t="s">
        <v>1592</v>
      </c>
      <c r="J152" s="16"/>
      <c r="K152" s="5" t="s">
        <v>6</v>
      </c>
      <c r="L152" s="10" t="str">
        <f t="shared" ca="1" si="13"/>
        <v>Calibrado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" hidden="1" customHeight="1">
      <c r="A153" s="21" t="s">
        <v>360</v>
      </c>
      <c r="B153" s="5" t="s">
        <v>1506</v>
      </c>
      <c r="C153" s="22" t="s">
        <v>32</v>
      </c>
      <c r="D153" s="9" t="s">
        <v>697</v>
      </c>
      <c r="E153" s="6">
        <v>45908</v>
      </c>
      <c r="F153" s="91">
        <f t="shared" ref="F153:F175" si="15">EOMONTH(E153,12)</f>
        <v>46295</v>
      </c>
      <c r="G153" s="80" t="s">
        <v>2062</v>
      </c>
      <c r="H153" s="80"/>
      <c r="I153" s="16" t="s">
        <v>1450</v>
      </c>
      <c r="J153" s="16"/>
      <c r="K153" s="5" t="s">
        <v>6</v>
      </c>
      <c r="L153" s="10" t="str">
        <f t="shared" ca="1" si="13"/>
        <v>Calibrado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" hidden="1" customHeight="1">
      <c r="A154" s="21" t="s">
        <v>361</v>
      </c>
      <c r="B154" s="5" t="s">
        <v>1506</v>
      </c>
      <c r="C154" s="22" t="s">
        <v>32</v>
      </c>
      <c r="D154" s="9" t="s">
        <v>17</v>
      </c>
      <c r="E154" s="6">
        <v>45908</v>
      </c>
      <c r="F154" s="91">
        <f t="shared" si="15"/>
        <v>46295</v>
      </c>
      <c r="G154" s="80" t="s">
        <v>2062</v>
      </c>
      <c r="H154" s="80"/>
      <c r="I154" s="16" t="s">
        <v>1451</v>
      </c>
      <c r="J154" s="16"/>
      <c r="K154" s="5" t="s">
        <v>6</v>
      </c>
      <c r="L154" s="10" t="str">
        <f t="shared" ca="1" si="13"/>
        <v>Calibrado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" hidden="1" customHeight="1">
      <c r="A155" s="21" t="s">
        <v>412</v>
      </c>
      <c r="B155" s="5" t="s">
        <v>1506</v>
      </c>
      <c r="C155" s="5" t="s">
        <v>65</v>
      </c>
      <c r="D155" s="9" t="s">
        <v>698</v>
      </c>
      <c r="E155" s="6">
        <v>46191</v>
      </c>
      <c r="F155" s="91">
        <f t="shared" si="15"/>
        <v>46568</v>
      </c>
      <c r="G155" s="80" t="s">
        <v>2063</v>
      </c>
      <c r="H155" s="80"/>
      <c r="I155" s="16" t="s">
        <v>1307</v>
      </c>
      <c r="J155" s="16" t="s">
        <v>2026</v>
      </c>
      <c r="K155" s="5" t="s">
        <v>6</v>
      </c>
      <c r="L155" s="10" t="str">
        <f t="shared" ca="1" si="13"/>
        <v>Calibrado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" hidden="1" customHeight="1">
      <c r="A156" s="21" t="s">
        <v>413</v>
      </c>
      <c r="B156" s="5" t="s">
        <v>1506</v>
      </c>
      <c r="C156" s="5" t="s">
        <v>65</v>
      </c>
      <c r="D156" s="9" t="s">
        <v>699</v>
      </c>
      <c r="E156" s="6">
        <v>45923</v>
      </c>
      <c r="F156" s="91">
        <f t="shared" si="15"/>
        <v>46295</v>
      </c>
      <c r="G156" s="80" t="s">
        <v>2062</v>
      </c>
      <c r="H156" s="80"/>
      <c r="I156" s="16" t="s">
        <v>1478</v>
      </c>
      <c r="J156" s="16"/>
      <c r="K156" s="5" t="s">
        <v>6</v>
      </c>
      <c r="L156" s="10" t="str">
        <f t="shared" ca="1" si="13"/>
        <v>Calibrado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" hidden="1" customHeight="1">
      <c r="A157" s="21" t="s">
        <v>414</v>
      </c>
      <c r="B157" s="5" t="s">
        <v>1506</v>
      </c>
      <c r="C157" s="22" t="s">
        <v>32</v>
      </c>
      <c r="D157" s="9" t="s">
        <v>18</v>
      </c>
      <c r="E157" s="6">
        <v>45972</v>
      </c>
      <c r="F157" s="91">
        <f t="shared" si="15"/>
        <v>46356</v>
      </c>
      <c r="G157" s="80"/>
      <c r="H157" s="80"/>
      <c r="I157" s="16" t="s">
        <v>1570</v>
      </c>
      <c r="J157" s="16"/>
      <c r="K157" s="5" t="s">
        <v>6</v>
      </c>
      <c r="L157" s="10" t="str">
        <f t="shared" ca="1" si="13"/>
        <v>Calibrado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" hidden="1" customHeight="1">
      <c r="A158" s="21" t="s">
        <v>415</v>
      </c>
      <c r="B158" s="5" t="s">
        <v>1506</v>
      </c>
      <c r="C158" s="40" t="s">
        <v>62</v>
      </c>
      <c r="D158" s="9" t="s">
        <v>19</v>
      </c>
      <c r="E158" s="6">
        <v>45969</v>
      </c>
      <c r="F158" s="91">
        <f t="shared" si="15"/>
        <v>46356</v>
      </c>
      <c r="G158" s="80"/>
      <c r="H158" s="80"/>
      <c r="I158" s="16" t="s">
        <v>1567</v>
      </c>
      <c r="J158" s="16"/>
      <c r="K158" s="5" t="s">
        <v>6</v>
      </c>
      <c r="L158" s="10" t="str">
        <f t="shared" ca="1" si="13"/>
        <v>Calibrado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" hidden="1" customHeight="1">
      <c r="A159" s="21" t="s">
        <v>416</v>
      </c>
      <c r="B159" s="5" t="s">
        <v>1506</v>
      </c>
      <c r="C159" s="40" t="s">
        <v>62</v>
      </c>
      <c r="D159" s="9" t="s">
        <v>700</v>
      </c>
      <c r="E159" s="6">
        <v>45971</v>
      </c>
      <c r="F159" s="91">
        <f t="shared" si="15"/>
        <v>46356</v>
      </c>
      <c r="G159" s="80"/>
      <c r="H159" s="80"/>
      <c r="I159" s="16" t="s">
        <v>1568</v>
      </c>
      <c r="J159" s="16"/>
      <c r="K159" s="5" t="s">
        <v>6</v>
      </c>
      <c r="L159" s="10" t="str">
        <f t="shared" ca="1" si="13"/>
        <v>Calibrado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" hidden="1" customHeight="1">
      <c r="A160" s="21" t="s">
        <v>417</v>
      </c>
      <c r="B160" s="5" t="s">
        <v>1506</v>
      </c>
      <c r="C160" s="42" t="s">
        <v>7</v>
      </c>
      <c r="D160" s="9" t="s">
        <v>701</v>
      </c>
      <c r="E160" s="6">
        <v>45979</v>
      </c>
      <c r="F160" s="91">
        <f t="shared" si="15"/>
        <v>46356</v>
      </c>
      <c r="G160" s="80"/>
      <c r="H160" s="80"/>
      <c r="I160" s="16" t="s">
        <v>1578</v>
      </c>
      <c r="J160" s="16"/>
      <c r="K160" s="5" t="s">
        <v>6</v>
      </c>
      <c r="L160" s="10" t="str">
        <f t="shared" ca="1" si="13"/>
        <v>Calibrado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" hidden="1" customHeight="1">
      <c r="A161" s="21" t="s">
        <v>418</v>
      </c>
      <c r="B161" s="5" t="s">
        <v>1506</v>
      </c>
      <c r="C161" s="5" t="s">
        <v>65</v>
      </c>
      <c r="D161" s="9" t="s">
        <v>702</v>
      </c>
      <c r="E161" s="6">
        <v>46058</v>
      </c>
      <c r="F161" s="91">
        <f t="shared" si="15"/>
        <v>46446</v>
      </c>
      <c r="G161" s="80" t="s">
        <v>2062</v>
      </c>
      <c r="H161" s="78" t="s">
        <v>2066</v>
      </c>
      <c r="I161" s="16" t="s">
        <v>1056</v>
      </c>
      <c r="J161" s="16" t="s">
        <v>1764</v>
      </c>
      <c r="K161" s="5" t="s">
        <v>6</v>
      </c>
      <c r="L161" s="10" t="str">
        <f t="shared" ca="1" si="13"/>
        <v>Calibrado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" hidden="1" customHeight="1">
      <c r="A162" s="21" t="s">
        <v>419</v>
      </c>
      <c r="B162" s="5" t="s">
        <v>1506</v>
      </c>
      <c r="C162" s="5" t="s">
        <v>65</v>
      </c>
      <c r="D162" s="9">
        <v>55268191</v>
      </c>
      <c r="E162" s="6">
        <v>46085</v>
      </c>
      <c r="F162" s="91">
        <f t="shared" si="15"/>
        <v>46477</v>
      </c>
      <c r="G162" s="80" t="s">
        <v>2063</v>
      </c>
      <c r="H162" s="80"/>
      <c r="I162" s="16" t="s">
        <v>1102</v>
      </c>
      <c r="J162" s="16" t="s">
        <v>1810</v>
      </c>
      <c r="K162" s="5" t="s">
        <v>6</v>
      </c>
      <c r="L162" s="10" t="str">
        <f t="shared" ca="1" si="13"/>
        <v>Calibrado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" hidden="1" customHeight="1">
      <c r="A163" s="21" t="s">
        <v>420</v>
      </c>
      <c r="B163" s="88" t="s">
        <v>1506</v>
      </c>
      <c r="C163" s="5" t="s">
        <v>65</v>
      </c>
      <c r="D163" s="9" t="s">
        <v>703</v>
      </c>
      <c r="E163" s="6">
        <v>46036</v>
      </c>
      <c r="F163" s="91">
        <f t="shared" si="15"/>
        <v>46418</v>
      </c>
      <c r="G163" s="80"/>
      <c r="H163" s="89" t="s">
        <v>2079</v>
      </c>
      <c r="I163" s="16" t="s">
        <v>1003</v>
      </c>
      <c r="J163" s="16" t="s">
        <v>1667</v>
      </c>
      <c r="K163" s="5" t="s">
        <v>6</v>
      </c>
      <c r="L163" s="10" t="str">
        <f t="shared" ca="1" si="13"/>
        <v>Calibrado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" hidden="1" customHeight="1">
      <c r="A164" s="21" t="s">
        <v>421</v>
      </c>
      <c r="B164" s="5" t="s">
        <v>1506</v>
      </c>
      <c r="C164" s="5" t="s">
        <v>65</v>
      </c>
      <c r="D164" s="9">
        <v>52007686</v>
      </c>
      <c r="E164" s="6">
        <v>45953</v>
      </c>
      <c r="F164" s="91">
        <f t="shared" si="15"/>
        <v>46326</v>
      </c>
      <c r="G164" s="80" t="s">
        <v>2063</v>
      </c>
      <c r="H164" s="80"/>
      <c r="I164" s="16" t="s">
        <v>1532</v>
      </c>
      <c r="J164" s="16"/>
      <c r="K164" s="5" t="s">
        <v>6</v>
      </c>
      <c r="L164" s="10" t="str">
        <f t="shared" ca="1" si="13"/>
        <v>Calibrado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" hidden="1" customHeight="1">
      <c r="A165" s="21" t="s">
        <v>422</v>
      </c>
      <c r="B165" s="5" t="s">
        <v>1506</v>
      </c>
      <c r="C165" s="5" t="s">
        <v>65</v>
      </c>
      <c r="D165" s="9" t="s">
        <v>704</v>
      </c>
      <c r="E165" s="6">
        <v>46058</v>
      </c>
      <c r="F165" s="91">
        <f t="shared" si="15"/>
        <v>46446</v>
      </c>
      <c r="G165" s="80" t="s">
        <v>2063</v>
      </c>
      <c r="H165" s="78" t="s">
        <v>2066</v>
      </c>
      <c r="I165" s="16" t="s">
        <v>1057</v>
      </c>
      <c r="J165" s="16" t="s">
        <v>1765</v>
      </c>
      <c r="K165" s="5" t="s">
        <v>6</v>
      </c>
      <c r="L165" s="10" t="str">
        <f t="shared" ca="1" si="13"/>
        <v>Calibrado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" hidden="1" customHeight="1">
      <c r="A166" s="21" t="s">
        <v>423</v>
      </c>
      <c r="B166" s="5" t="s">
        <v>1506</v>
      </c>
      <c r="C166" s="40" t="s">
        <v>62</v>
      </c>
      <c r="D166" s="9" t="s">
        <v>705</v>
      </c>
      <c r="E166" s="6">
        <v>46175</v>
      </c>
      <c r="F166" s="91">
        <f t="shared" si="15"/>
        <v>46568</v>
      </c>
      <c r="G166" s="80" t="s">
        <v>2062</v>
      </c>
      <c r="H166" s="80"/>
      <c r="I166" s="16" t="s">
        <v>1283</v>
      </c>
      <c r="J166" s="16" t="s">
        <v>1990</v>
      </c>
      <c r="K166" s="5" t="s">
        <v>6</v>
      </c>
      <c r="L166" s="10" t="str">
        <f t="shared" ca="1" si="13"/>
        <v>Calibrado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" hidden="1" customHeight="1">
      <c r="A167" s="21" t="s">
        <v>424</v>
      </c>
      <c r="B167" s="88" t="s">
        <v>1506</v>
      </c>
      <c r="C167" s="5" t="s">
        <v>65</v>
      </c>
      <c r="D167" s="9" t="s">
        <v>1276</v>
      </c>
      <c r="E167" s="6">
        <v>46059</v>
      </c>
      <c r="F167" s="91">
        <f t="shared" si="15"/>
        <v>46446</v>
      </c>
      <c r="G167" s="80" t="s">
        <v>2062</v>
      </c>
      <c r="H167" s="89" t="s">
        <v>2098</v>
      </c>
      <c r="I167" s="16" t="s">
        <v>1058</v>
      </c>
      <c r="J167" s="16" t="s">
        <v>1766</v>
      </c>
      <c r="K167" s="5" t="s">
        <v>6</v>
      </c>
      <c r="L167" s="10" t="str">
        <f t="shared" ca="1" si="13"/>
        <v>Calibrado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" hidden="1" customHeight="1">
      <c r="A168" s="21" t="s">
        <v>425</v>
      </c>
      <c r="B168" s="5" t="s">
        <v>1506</v>
      </c>
      <c r="C168" s="22" t="s">
        <v>32</v>
      </c>
      <c r="D168" s="9" t="s">
        <v>706</v>
      </c>
      <c r="E168" s="6">
        <v>45941</v>
      </c>
      <c r="F168" s="91">
        <f t="shared" si="15"/>
        <v>46326</v>
      </c>
      <c r="G168" s="80" t="s">
        <v>2063</v>
      </c>
      <c r="H168" s="80"/>
      <c r="I168" s="16" t="s">
        <v>1508</v>
      </c>
      <c r="J168" s="16"/>
      <c r="K168" s="5" t="s">
        <v>6</v>
      </c>
      <c r="L168" s="10" t="str">
        <f t="shared" ca="1" si="13"/>
        <v>Calibrado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" hidden="1" customHeight="1">
      <c r="A169" s="21" t="s">
        <v>426</v>
      </c>
      <c r="B169" s="5" t="s">
        <v>1506</v>
      </c>
      <c r="C169" s="22" t="s">
        <v>32</v>
      </c>
      <c r="D169" s="9" t="s">
        <v>707</v>
      </c>
      <c r="E169" s="6">
        <v>45909</v>
      </c>
      <c r="F169" s="91">
        <f t="shared" si="15"/>
        <v>46295</v>
      </c>
      <c r="G169" s="80" t="s">
        <v>2063</v>
      </c>
      <c r="H169" s="80"/>
      <c r="I169" s="16" t="s">
        <v>1452</v>
      </c>
      <c r="J169" s="16"/>
      <c r="K169" s="5" t="s">
        <v>6</v>
      </c>
      <c r="L169" s="10" t="str">
        <f t="shared" ca="1" si="13"/>
        <v>Calibrado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" hidden="1" customHeight="1">
      <c r="A170" s="21" t="s">
        <v>427</v>
      </c>
      <c r="B170" s="5" t="s">
        <v>1506</v>
      </c>
      <c r="C170" s="42" t="s">
        <v>7</v>
      </c>
      <c r="D170" s="9" t="s">
        <v>708</v>
      </c>
      <c r="E170" s="6">
        <v>46168</v>
      </c>
      <c r="F170" s="91">
        <f t="shared" si="15"/>
        <v>46538</v>
      </c>
      <c r="G170" s="80"/>
      <c r="H170" s="80"/>
      <c r="I170" s="16" t="s">
        <v>1234</v>
      </c>
      <c r="J170" s="16" t="s">
        <v>1973</v>
      </c>
      <c r="K170" s="5" t="s">
        <v>6</v>
      </c>
      <c r="L170" s="10" t="str">
        <f t="shared" ca="1" si="13"/>
        <v>Calibrado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" hidden="1" customHeight="1">
      <c r="A171" s="21" t="s">
        <v>428</v>
      </c>
      <c r="B171" s="5" t="s">
        <v>1506</v>
      </c>
      <c r="C171" s="42" t="s">
        <v>7</v>
      </c>
      <c r="D171" s="9" t="s">
        <v>709</v>
      </c>
      <c r="E171" s="6">
        <v>46168</v>
      </c>
      <c r="F171" s="91">
        <f t="shared" si="15"/>
        <v>46538</v>
      </c>
      <c r="G171" s="80"/>
      <c r="H171" s="80"/>
      <c r="I171" s="16" t="s">
        <v>1235</v>
      </c>
      <c r="J171" s="16" t="s">
        <v>1974</v>
      </c>
      <c r="K171" s="5" t="s">
        <v>6</v>
      </c>
      <c r="L171" s="10" t="str">
        <f t="shared" ca="1" si="13"/>
        <v>Calibrado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" hidden="1" customHeight="1">
      <c r="A172" s="21" t="s">
        <v>429</v>
      </c>
      <c r="B172" s="88" t="s">
        <v>1506</v>
      </c>
      <c r="C172" s="5" t="s">
        <v>65</v>
      </c>
      <c r="D172" s="9">
        <v>552692890</v>
      </c>
      <c r="E172" s="6">
        <v>46036</v>
      </c>
      <c r="F172" s="91">
        <f t="shared" si="15"/>
        <v>46418</v>
      </c>
      <c r="G172" s="80"/>
      <c r="H172" s="89" t="s">
        <v>2080</v>
      </c>
      <c r="I172" s="16" t="s">
        <v>1004</v>
      </c>
      <c r="J172" s="16" t="s">
        <v>1668</v>
      </c>
      <c r="K172" s="5" t="s">
        <v>6</v>
      </c>
      <c r="L172" s="10" t="str">
        <f t="shared" ca="1" si="13"/>
        <v>Calibrado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" hidden="1" customHeight="1">
      <c r="A173" s="21" t="s">
        <v>491</v>
      </c>
      <c r="B173" s="5" t="s">
        <v>1506</v>
      </c>
      <c r="C173" s="5" t="s">
        <v>65</v>
      </c>
      <c r="D173" s="9" t="s">
        <v>983</v>
      </c>
      <c r="E173" s="6">
        <v>45924</v>
      </c>
      <c r="F173" s="91">
        <f t="shared" si="15"/>
        <v>46295</v>
      </c>
      <c r="G173" s="80" t="s">
        <v>2062</v>
      </c>
      <c r="H173" s="80"/>
      <c r="I173" s="16" t="s">
        <v>1479</v>
      </c>
      <c r="J173" s="16"/>
      <c r="K173" s="5" t="s">
        <v>6</v>
      </c>
      <c r="L173" s="10" t="str">
        <f t="shared" ca="1" si="13"/>
        <v>Calibrado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" hidden="1" customHeight="1">
      <c r="A174" s="21" t="s">
        <v>490</v>
      </c>
      <c r="B174" s="5" t="s">
        <v>1506</v>
      </c>
      <c r="C174" s="22" t="s">
        <v>32</v>
      </c>
      <c r="D174" s="9" t="s">
        <v>934</v>
      </c>
      <c r="E174" s="6">
        <v>46176</v>
      </c>
      <c r="F174" s="91">
        <f t="shared" si="15"/>
        <v>46568</v>
      </c>
      <c r="G174" s="80" t="s">
        <v>2062</v>
      </c>
      <c r="H174" s="80"/>
      <c r="I174" s="16" t="s">
        <v>1319</v>
      </c>
      <c r="J174" s="16" t="s">
        <v>1995</v>
      </c>
      <c r="K174" s="5" t="s">
        <v>6</v>
      </c>
      <c r="L174" s="10" t="str">
        <f t="shared" ca="1" si="13"/>
        <v>Calibrado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" hidden="1" customHeight="1">
      <c r="A175" s="21" t="s">
        <v>489</v>
      </c>
      <c r="B175" s="5" t="s">
        <v>1506</v>
      </c>
      <c r="C175" s="40" t="s">
        <v>62</v>
      </c>
      <c r="D175" s="9" t="s">
        <v>710</v>
      </c>
      <c r="E175" s="6">
        <v>46175</v>
      </c>
      <c r="F175" s="91">
        <f t="shared" si="15"/>
        <v>46568</v>
      </c>
      <c r="G175" s="80" t="s">
        <v>2062</v>
      </c>
      <c r="H175" s="80"/>
      <c r="I175" s="16" t="s">
        <v>1284</v>
      </c>
      <c r="J175" s="16" t="s">
        <v>1991</v>
      </c>
      <c r="K175" s="5" t="s">
        <v>6</v>
      </c>
      <c r="L175" s="10" t="str">
        <f t="shared" ca="1" si="13"/>
        <v>Calibrado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" hidden="1" customHeight="1">
      <c r="A176" s="21" t="s">
        <v>488</v>
      </c>
      <c r="B176" s="5" t="s">
        <v>1506</v>
      </c>
      <c r="C176" s="22" t="s">
        <v>32</v>
      </c>
      <c r="D176" s="9" t="s">
        <v>20</v>
      </c>
      <c r="E176" s="6">
        <v>46181</v>
      </c>
      <c r="F176" s="91">
        <f t="shared" ref="F176:F183" si="16">EOMONTH(E176,12)</f>
        <v>46568</v>
      </c>
      <c r="G176" s="80" t="s">
        <v>2063</v>
      </c>
      <c r="H176" s="80"/>
      <c r="I176" s="16" t="s">
        <v>1320</v>
      </c>
      <c r="J176" s="16" t="s">
        <v>1996</v>
      </c>
      <c r="K176" s="5" t="s">
        <v>6</v>
      </c>
      <c r="L176" s="10" t="str">
        <f t="shared" ca="1" si="13"/>
        <v>Calibrado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" hidden="1" customHeight="1">
      <c r="A177" s="21" t="s">
        <v>487</v>
      </c>
      <c r="B177" s="5" t="s">
        <v>1506</v>
      </c>
      <c r="C177" s="22" t="s">
        <v>32</v>
      </c>
      <c r="D177" s="9" t="s">
        <v>21</v>
      </c>
      <c r="E177" s="6">
        <v>46181</v>
      </c>
      <c r="F177" s="91">
        <f t="shared" si="16"/>
        <v>46568</v>
      </c>
      <c r="G177" s="80" t="s">
        <v>2062</v>
      </c>
      <c r="H177" s="80"/>
      <c r="I177" s="16" t="s">
        <v>1321</v>
      </c>
      <c r="J177" s="16" t="s">
        <v>1997</v>
      </c>
      <c r="K177" s="5" t="s">
        <v>6</v>
      </c>
      <c r="L177" s="10" t="str">
        <f t="shared" ca="1" si="13"/>
        <v>Calibrado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" hidden="1" customHeight="1">
      <c r="A178" s="21" t="s">
        <v>486</v>
      </c>
      <c r="B178" s="5" t="s">
        <v>1506</v>
      </c>
      <c r="C178" s="22" t="s">
        <v>32</v>
      </c>
      <c r="D178" s="9" t="s">
        <v>22</v>
      </c>
      <c r="E178" s="6">
        <v>46181</v>
      </c>
      <c r="F178" s="91">
        <f t="shared" si="16"/>
        <v>46568</v>
      </c>
      <c r="G178" s="80" t="s">
        <v>2062</v>
      </c>
      <c r="H178" s="80"/>
      <c r="I178" s="16" t="s">
        <v>1322</v>
      </c>
      <c r="J178" s="16" t="s">
        <v>1998</v>
      </c>
      <c r="K178" s="5" t="s">
        <v>6</v>
      </c>
      <c r="L178" s="10" t="str">
        <f t="shared" ca="1" si="13"/>
        <v>Calibrado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" hidden="1" customHeight="1">
      <c r="A179" s="21" t="s">
        <v>484</v>
      </c>
      <c r="B179" s="5" t="s">
        <v>1506</v>
      </c>
      <c r="C179" s="5" t="s">
        <v>65</v>
      </c>
      <c r="D179" s="9">
        <v>51831843</v>
      </c>
      <c r="E179" s="6">
        <v>46192</v>
      </c>
      <c r="F179" s="91">
        <f t="shared" si="16"/>
        <v>46568</v>
      </c>
      <c r="G179" s="80" t="s">
        <v>2062</v>
      </c>
      <c r="H179" s="80"/>
      <c r="I179" s="16" t="s">
        <v>1308</v>
      </c>
      <c r="J179" s="16" t="s">
        <v>2027</v>
      </c>
      <c r="K179" s="5" t="s">
        <v>6</v>
      </c>
      <c r="L179" s="10" t="str">
        <f t="shared" ca="1" si="13"/>
        <v>Calibrado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" hidden="1" customHeight="1">
      <c r="A180" s="21" t="s">
        <v>483</v>
      </c>
      <c r="B180" s="5" t="s">
        <v>1506</v>
      </c>
      <c r="C180" s="22" t="s">
        <v>32</v>
      </c>
      <c r="D180" s="9" t="s">
        <v>23</v>
      </c>
      <c r="E180" s="6">
        <v>46182</v>
      </c>
      <c r="F180" s="91">
        <f t="shared" si="16"/>
        <v>46568</v>
      </c>
      <c r="G180" s="80" t="s">
        <v>2063</v>
      </c>
      <c r="H180" s="80"/>
      <c r="I180" s="16" t="s">
        <v>1323</v>
      </c>
      <c r="J180" s="16" t="s">
        <v>1999</v>
      </c>
      <c r="K180" s="5" t="s">
        <v>6</v>
      </c>
      <c r="L180" s="10" t="str">
        <f t="shared" ca="1" si="13"/>
        <v>Calibrado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" hidden="1" customHeight="1">
      <c r="A181" s="21" t="s">
        <v>482</v>
      </c>
      <c r="B181" s="5" t="s">
        <v>1506</v>
      </c>
      <c r="C181" s="42" t="s">
        <v>7</v>
      </c>
      <c r="D181" s="9">
        <v>94755345</v>
      </c>
      <c r="E181" s="6">
        <v>46205</v>
      </c>
      <c r="F181" s="91">
        <f t="shared" si="16"/>
        <v>46599</v>
      </c>
      <c r="G181" s="80" t="s">
        <v>2062</v>
      </c>
      <c r="H181" s="80" t="s">
        <v>2066</v>
      </c>
      <c r="I181" s="16" t="s">
        <v>1338</v>
      </c>
      <c r="J181" s="16" t="s">
        <v>2055</v>
      </c>
      <c r="K181" s="5" t="s">
        <v>6</v>
      </c>
      <c r="L181" s="10" t="str">
        <f t="shared" ca="1" si="13"/>
        <v>Calibrado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" hidden="1" customHeight="1">
      <c r="A182" s="21" t="s">
        <v>481</v>
      </c>
      <c r="B182" s="5" t="s">
        <v>1506</v>
      </c>
      <c r="C182" s="5" t="s">
        <v>65</v>
      </c>
      <c r="D182" s="9">
        <v>518593140</v>
      </c>
      <c r="E182" s="6">
        <v>46158</v>
      </c>
      <c r="F182" s="91">
        <f t="shared" si="16"/>
        <v>46538</v>
      </c>
      <c r="G182" s="80"/>
      <c r="H182" s="80"/>
      <c r="I182" s="16" t="s">
        <v>1244</v>
      </c>
      <c r="J182" s="16" t="s">
        <v>1943</v>
      </c>
      <c r="K182" s="5" t="s">
        <v>6</v>
      </c>
      <c r="L182" s="10" t="str">
        <f t="shared" ca="1" si="13"/>
        <v>Calibrado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" hidden="1" customHeight="1">
      <c r="A183" s="21" t="s">
        <v>480</v>
      </c>
      <c r="B183" s="5" t="s">
        <v>1506</v>
      </c>
      <c r="C183" s="22" t="s">
        <v>32</v>
      </c>
      <c r="D183" s="9" t="s">
        <v>24</v>
      </c>
      <c r="E183" s="6">
        <v>45890</v>
      </c>
      <c r="F183" s="91">
        <f t="shared" si="16"/>
        <v>46265</v>
      </c>
      <c r="G183" s="80"/>
      <c r="H183" s="80"/>
      <c r="I183" s="16" t="s">
        <v>1415</v>
      </c>
      <c r="J183" s="16"/>
      <c r="K183" s="5" t="s">
        <v>6</v>
      </c>
      <c r="L183" s="10" t="str">
        <f t="shared" ca="1" si="13"/>
        <v>Calibrado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" hidden="1" customHeight="1">
      <c r="A184" s="20" t="s">
        <v>711</v>
      </c>
      <c r="B184" s="88" t="s">
        <v>1506</v>
      </c>
      <c r="C184" s="22" t="s">
        <v>32</v>
      </c>
      <c r="D184" s="33" t="s">
        <v>712</v>
      </c>
      <c r="E184" s="52"/>
      <c r="F184" s="52"/>
      <c r="G184" s="81"/>
      <c r="H184" s="89" t="s">
        <v>2094</v>
      </c>
      <c r="I184" s="55"/>
      <c r="J184" s="55"/>
      <c r="K184" s="4" t="s">
        <v>109</v>
      </c>
      <c r="L184" s="10" t="str">
        <f t="shared" si="13"/>
        <v>INATIVO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" hidden="1" customHeight="1">
      <c r="A185" s="21" t="s">
        <v>479</v>
      </c>
      <c r="B185" s="5" t="s">
        <v>1506</v>
      </c>
      <c r="C185" s="22" t="s">
        <v>32</v>
      </c>
      <c r="D185" s="9" t="s">
        <v>25</v>
      </c>
      <c r="E185" s="6">
        <v>46182</v>
      </c>
      <c r="F185" s="91">
        <f t="shared" ref="F185:F203" si="17">EOMONTH(E185,12)</f>
        <v>46568</v>
      </c>
      <c r="G185" s="80" t="s">
        <v>2062</v>
      </c>
      <c r="H185" s="80"/>
      <c r="I185" s="16" t="s">
        <v>1324</v>
      </c>
      <c r="J185" s="16" t="s">
        <v>2000</v>
      </c>
      <c r="K185" s="5" t="s">
        <v>6</v>
      </c>
      <c r="L185" s="10" t="str">
        <f t="shared" ca="1" si="13"/>
        <v>Calibrado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" hidden="1" customHeight="1">
      <c r="A186" s="21" t="s">
        <v>478</v>
      </c>
      <c r="B186" s="5" t="s">
        <v>1506</v>
      </c>
      <c r="C186" s="22" t="s">
        <v>32</v>
      </c>
      <c r="D186" s="9" t="s">
        <v>26</v>
      </c>
      <c r="E186" s="6">
        <v>46182</v>
      </c>
      <c r="F186" s="91">
        <f t="shared" si="17"/>
        <v>46568</v>
      </c>
      <c r="G186" s="80" t="s">
        <v>2063</v>
      </c>
      <c r="H186" s="80"/>
      <c r="I186" s="16" t="s">
        <v>1325</v>
      </c>
      <c r="J186" s="16" t="s">
        <v>2001</v>
      </c>
      <c r="K186" s="5" t="s">
        <v>6</v>
      </c>
      <c r="L186" s="10" t="str">
        <f t="shared" ca="1" si="13"/>
        <v>Calibrado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" hidden="1" customHeight="1">
      <c r="A187" s="21" t="s">
        <v>477</v>
      </c>
      <c r="B187" s="88" t="s">
        <v>1506</v>
      </c>
      <c r="C187" s="22" t="s">
        <v>32</v>
      </c>
      <c r="D187" s="9" t="s">
        <v>27</v>
      </c>
      <c r="E187" s="6">
        <v>46056</v>
      </c>
      <c r="F187" s="91">
        <f t="shared" si="17"/>
        <v>46446</v>
      </c>
      <c r="G187" s="80" t="s">
        <v>2062</v>
      </c>
      <c r="H187" s="89" t="s">
        <v>2097</v>
      </c>
      <c r="I187" s="16" t="s">
        <v>1079</v>
      </c>
      <c r="J187" s="16" t="s">
        <v>1759</v>
      </c>
      <c r="K187" s="5" t="s">
        <v>6</v>
      </c>
      <c r="L187" s="10" t="str">
        <f t="shared" ca="1" si="13"/>
        <v>Calibrado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" hidden="1" customHeight="1">
      <c r="A188" s="21" t="s">
        <v>476</v>
      </c>
      <c r="B188" s="5" t="s">
        <v>1506</v>
      </c>
      <c r="C188" s="22" t="s">
        <v>32</v>
      </c>
      <c r="D188" s="9" t="s">
        <v>713</v>
      </c>
      <c r="E188" s="6">
        <v>46032</v>
      </c>
      <c r="F188" s="91">
        <f t="shared" si="17"/>
        <v>46418</v>
      </c>
      <c r="G188" s="80"/>
      <c r="H188" s="80" t="s">
        <v>2066</v>
      </c>
      <c r="I188" s="16" t="s">
        <v>1008</v>
      </c>
      <c r="J188" s="16" t="s">
        <v>1660</v>
      </c>
      <c r="K188" s="5" t="s">
        <v>6</v>
      </c>
      <c r="L188" s="10" t="str">
        <f t="shared" ca="1" si="13"/>
        <v>Calibrado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" hidden="1" customHeight="1">
      <c r="A189" s="21" t="s">
        <v>475</v>
      </c>
      <c r="B189" s="5" t="s">
        <v>1506</v>
      </c>
      <c r="C189" s="22" t="s">
        <v>32</v>
      </c>
      <c r="D189" s="9" t="s">
        <v>714</v>
      </c>
      <c r="E189" s="6">
        <v>46034</v>
      </c>
      <c r="F189" s="91">
        <f t="shared" si="17"/>
        <v>46418</v>
      </c>
      <c r="G189" s="80"/>
      <c r="H189" s="80" t="s">
        <v>2066</v>
      </c>
      <c r="I189" s="16" t="s">
        <v>1009</v>
      </c>
      <c r="J189" s="16" t="s">
        <v>1661</v>
      </c>
      <c r="K189" s="5" t="s">
        <v>6</v>
      </c>
      <c r="L189" s="10" t="str">
        <f t="shared" ca="1" si="13"/>
        <v>Calibrado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" hidden="1" customHeight="1">
      <c r="A190" s="21" t="s">
        <v>474</v>
      </c>
      <c r="B190" s="5" t="s">
        <v>1506</v>
      </c>
      <c r="C190" s="22" t="s">
        <v>32</v>
      </c>
      <c r="D190" s="9" t="s">
        <v>715</v>
      </c>
      <c r="E190" s="6">
        <v>46034</v>
      </c>
      <c r="F190" s="91">
        <f t="shared" si="17"/>
        <v>46418</v>
      </c>
      <c r="G190" s="80"/>
      <c r="H190" s="80" t="s">
        <v>2066</v>
      </c>
      <c r="I190" s="16" t="s">
        <v>1010</v>
      </c>
      <c r="J190" s="16" t="s">
        <v>1662</v>
      </c>
      <c r="K190" s="5" t="s">
        <v>6</v>
      </c>
      <c r="L190" s="10" t="str">
        <f t="shared" ca="1" si="13"/>
        <v>Calibrado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" hidden="1" customHeight="1">
      <c r="A191" s="21" t="s">
        <v>473</v>
      </c>
      <c r="B191" s="5" t="s">
        <v>1506</v>
      </c>
      <c r="C191" s="22" t="s">
        <v>32</v>
      </c>
      <c r="D191" s="9" t="s">
        <v>716</v>
      </c>
      <c r="E191" s="6">
        <v>46034</v>
      </c>
      <c r="F191" s="91">
        <f t="shared" si="17"/>
        <v>46418</v>
      </c>
      <c r="G191" s="80"/>
      <c r="H191" s="80" t="s">
        <v>2066</v>
      </c>
      <c r="I191" s="16" t="s">
        <v>1011</v>
      </c>
      <c r="J191" s="16" t="s">
        <v>1663</v>
      </c>
      <c r="K191" s="5" t="s">
        <v>6</v>
      </c>
      <c r="L191" s="10" t="str">
        <f t="shared" ca="1" si="13"/>
        <v>Calibrado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" hidden="1" customHeight="1">
      <c r="A192" s="21" t="s">
        <v>472</v>
      </c>
      <c r="B192" s="88" t="s">
        <v>1506</v>
      </c>
      <c r="C192" s="22" t="s">
        <v>32</v>
      </c>
      <c r="D192" s="9" t="s">
        <v>717</v>
      </c>
      <c r="E192" s="6">
        <v>46035</v>
      </c>
      <c r="F192" s="91">
        <f t="shared" si="17"/>
        <v>46418</v>
      </c>
      <c r="G192" s="80"/>
      <c r="H192" s="89" t="s">
        <v>2084</v>
      </c>
      <c r="I192" s="16" t="s">
        <v>1012</v>
      </c>
      <c r="J192" s="16" t="s">
        <v>1664</v>
      </c>
      <c r="K192" s="5" t="s">
        <v>6</v>
      </c>
      <c r="L192" s="10" t="str">
        <f t="shared" ca="1" si="13"/>
        <v>Calibrado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" hidden="1" customHeight="1">
      <c r="A193" s="21" t="s">
        <v>471</v>
      </c>
      <c r="B193" s="5" t="s">
        <v>1506</v>
      </c>
      <c r="C193" s="22" t="s">
        <v>32</v>
      </c>
      <c r="D193" s="9" t="s">
        <v>718</v>
      </c>
      <c r="E193" s="6">
        <v>45995</v>
      </c>
      <c r="F193" s="91">
        <f t="shared" si="17"/>
        <v>46387</v>
      </c>
      <c r="G193" s="80"/>
      <c r="H193" s="80"/>
      <c r="I193" s="16" t="s">
        <v>1605</v>
      </c>
      <c r="J193" s="16"/>
      <c r="K193" s="5" t="s">
        <v>6</v>
      </c>
      <c r="L193" s="10" t="str">
        <f t="shared" ca="1" si="13"/>
        <v>Calibrado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" hidden="1" customHeight="1">
      <c r="A194" s="21" t="s">
        <v>470</v>
      </c>
      <c r="B194" s="5" t="s">
        <v>1506</v>
      </c>
      <c r="C194" s="22" t="s">
        <v>32</v>
      </c>
      <c r="D194" s="9" t="s">
        <v>723</v>
      </c>
      <c r="E194" s="6">
        <v>46183</v>
      </c>
      <c r="F194" s="91">
        <f t="shared" si="17"/>
        <v>46568</v>
      </c>
      <c r="G194" s="80" t="s">
        <v>2062</v>
      </c>
      <c r="H194" s="80"/>
      <c r="I194" s="16" t="s">
        <v>1326</v>
      </c>
      <c r="J194" s="16" t="s">
        <v>2003</v>
      </c>
      <c r="K194" s="5" t="s">
        <v>6</v>
      </c>
      <c r="L194" s="10" t="str">
        <f t="shared" ca="1" si="13"/>
        <v>Calibrado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" hidden="1" customHeight="1">
      <c r="A195" s="21" t="s">
        <v>469</v>
      </c>
      <c r="B195" s="5" t="s">
        <v>1506</v>
      </c>
      <c r="C195" s="22" t="s">
        <v>32</v>
      </c>
      <c r="D195" s="9" t="s">
        <v>719</v>
      </c>
      <c r="E195" s="6">
        <v>45941</v>
      </c>
      <c r="F195" s="91">
        <f t="shared" si="17"/>
        <v>46326</v>
      </c>
      <c r="G195" s="80" t="s">
        <v>2062</v>
      </c>
      <c r="H195" s="80"/>
      <c r="I195" s="16" t="s">
        <v>1509</v>
      </c>
      <c r="J195" s="16"/>
      <c r="K195" s="5" t="s">
        <v>6</v>
      </c>
      <c r="L195" s="10" t="str">
        <f t="shared" ref="L195:L258" ca="1" si="18">IF(K195="TERCEIRO","TERCEIRO",IF(K195="EM MODIF.","EM MODIF.",IF(K195="INATIVO","INATIVO",IF($E195="","Desenvolvimento",IF($F195&lt;$M$1,"Atrasado","Calibrado")))))</f>
        <v>Calibrado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" hidden="1" customHeight="1">
      <c r="A196" s="21" t="s">
        <v>468</v>
      </c>
      <c r="B196" s="5" t="s">
        <v>1506</v>
      </c>
      <c r="C196" s="22" t="s">
        <v>32</v>
      </c>
      <c r="D196" s="9" t="s">
        <v>720</v>
      </c>
      <c r="E196" s="6">
        <v>46035</v>
      </c>
      <c r="F196" s="91">
        <f t="shared" si="17"/>
        <v>46418</v>
      </c>
      <c r="G196" s="80"/>
      <c r="H196" s="80" t="s">
        <v>2066</v>
      </c>
      <c r="I196" s="16" t="s">
        <v>1013</v>
      </c>
      <c r="J196" s="16" t="s">
        <v>1665</v>
      </c>
      <c r="K196" s="5" t="s">
        <v>6</v>
      </c>
      <c r="L196" s="10" t="str">
        <f t="shared" ca="1" si="18"/>
        <v>Calibrado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" hidden="1" customHeight="1">
      <c r="A197" s="21" t="s">
        <v>147</v>
      </c>
      <c r="B197" s="5" t="s">
        <v>1506</v>
      </c>
      <c r="C197" s="22" t="s">
        <v>32</v>
      </c>
      <c r="D197" s="9" t="s">
        <v>721</v>
      </c>
      <c r="E197" s="6">
        <v>46035</v>
      </c>
      <c r="F197" s="91">
        <f t="shared" si="17"/>
        <v>46418</v>
      </c>
      <c r="G197" s="78"/>
      <c r="H197" s="80" t="s">
        <v>2066</v>
      </c>
      <c r="I197" s="16" t="s">
        <v>1014</v>
      </c>
      <c r="J197" s="16" t="s">
        <v>1666</v>
      </c>
      <c r="K197" s="5" t="s">
        <v>6</v>
      </c>
      <c r="L197" s="10" t="str">
        <f t="shared" ca="1" si="18"/>
        <v>Calibrado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" hidden="1" customHeight="1">
      <c r="A198" s="21" t="s">
        <v>467</v>
      </c>
      <c r="B198" s="5" t="s">
        <v>1506</v>
      </c>
      <c r="C198" s="22" t="s">
        <v>32</v>
      </c>
      <c r="D198" s="9" t="s">
        <v>722</v>
      </c>
      <c r="E198" s="6">
        <v>46056</v>
      </c>
      <c r="F198" s="91">
        <f t="shared" si="17"/>
        <v>46446</v>
      </c>
      <c r="G198" s="80" t="s">
        <v>2062</v>
      </c>
      <c r="H198" s="78" t="s">
        <v>2066</v>
      </c>
      <c r="I198" s="16" t="s">
        <v>1080</v>
      </c>
      <c r="J198" s="16" t="s">
        <v>1760</v>
      </c>
      <c r="K198" s="5" t="s">
        <v>6</v>
      </c>
      <c r="L198" s="10" t="str">
        <f t="shared" ca="1" si="18"/>
        <v>Calibrado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" hidden="1" customHeight="1">
      <c r="A199" s="21" t="s">
        <v>466</v>
      </c>
      <c r="B199" s="5" t="s">
        <v>1506</v>
      </c>
      <c r="C199" s="5" t="s">
        <v>65</v>
      </c>
      <c r="D199" s="9">
        <v>518423460</v>
      </c>
      <c r="E199" s="6">
        <v>46192</v>
      </c>
      <c r="F199" s="91">
        <f t="shared" si="17"/>
        <v>46568</v>
      </c>
      <c r="G199" s="80" t="s">
        <v>2063</v>
      </c>
      <c r="H199" s="80"/>
      <c r="I199" s="16" t="s">
        <v>1309</v>
      </c>
      <c r="J199" s="16" t="s">
        <v>2028</v>
      </c>
      <c r="K199" s="5" t="s">
        <v>6</v>
      </c>
      <c r="L199" s="10" t="str">
        <f t="shared" ca="1" si="18"/>
        <v>Calibrado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" hidden="1" customHeight="1">
      <c r="A200" s="21" t="s">
        <v>465</v>
      </c>
      <c r="B200" s="5" t="s">
        <v>1506</v>
      </c>
      <c r="C200" s="22" t="s">
        <v>32</v>
      </c>
      <c r="D200" s="9" t="s">
        <v>724</v>
      </c>
      <c r="E200" s="6">
        <v>46101</v>
      </c>
      <c r="F200" s="91">
        <f t="shared" si="17"/>
        <v>46477</v>
      </c>
      <c r="G200" s="80" t="s">
        <v>2063</v>
      </c>
      <c r="H200" s="80"/>
      <c r="I200" s="58" t="s">
        <v>1113</v>
      </c>
      <c r="J200" s="58" t="s">
        <v>1834</v>
      </c>
      <c r="K200" s="5" t="s">
        <v>6</v>
      </c>
      <c r="L200" s="10" t="str">
        <f t="shared" ca="1" si="18"/>
        <v>Calibrado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" hidden="1" customHeight="1">
      <c r="A201" s="21" t="s">
        <v>464</v>
      </c>
      <c r="B201" s="5" t="s">
        <v>1506</v>
      </c>
      <c r="C201" s="5" t="s">
        <v>65</v>
      </c>
      <c r="D201" s="9">
        <v>552223350</v>
      </c>
      <c r="E201" s="6">
        <v>46158</v>
      </c>
      <c r="F201" s="91">
        <f t="shared" si="17"/>
        <v>46538</v>
      </c>
      <c r="G201" s="80"/>
      <c r="H201" s="80"/>
      <c r="I201" s="16" t="s">
        <v>1252</v>
      </c>
      <c r="J201" s="16" t="s">
        <v>1944</v>
      </c>
      <c r="K201" s="5" t="s">
        <v>6</v>
      </c>
      <c r="L201" s="10" t="str">
        <f t="shared" ca="1" si="18"/>
        <v>Calibrado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" hidden="1" customHeight="1">
      <c r="A202" s="21" t="s">
        <v>463</v>
      </c>
      <c r="B202" s="88" t="s">
        <v>1506</v>
      </c>
      <c r="C202" s="5" t="s">
        <v>65</v>
      </c>
      <c r="D202" s="9">
        <v>552759160</v>
      </c>
      <c r="E202" s="6">
        <v>46223</v>
      </c>
      <c r="F202" s="91">
        <f t="shared" si="17"/>
        <v>46599</v>
      </c>
      <c r="G202" s="80" t="s">
        <v>2063</v>
      </c>
      <c r="H202" s="89" t="s">
        <v>2105</v>
      </c>
      <c r="I202" s="16" t="s">
        <v>1363</v>
      </c>
      <c r="J202" s="16" t="s">
        <v>2104</v>
      </c>
      <c r="K202" s="5" t="s">
        <v>6</v>
      </c>
      <c r="L202" s="10" t="str">
        <f t="shared" ca="1" si="18"/>
        <v>Calibrado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" hidden="1" customHeight="1">
      <c r="A203" s="21" t="s">
        <v>462</v>
      </c>
      <c r="B203" s="5" t="s">
        <v>1506</v>
      </c>
      <c r="C203" s="5" t="s">
        <v>65</v>
      </c>
      <c r="D203" s="9">
        <v>517507390</v>
      </c>
      <c r="E203" s="6">
        <v>45884</v>
      </c>
      <c r="F203" s="91">
        <f t="shared" si="17"/>
        <v>46265</v>
      </c>
      <c r="G203" s="80"/>
      <c r="H203" s="80"/>
      <c r="I203" s="16" t="s">
        <v>1405</v>
      </c>
      <c r="J203" s="16"/>
      <c r="K203" s="5" t="s">
        <v>6</v>
      </c>
      <c r="L203" s="10" t="str">
        <f t="shared" ca="1" si="18"/>
        <v>Calibrado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" hidden="1" customHeight="1">
      <c r="A204" s="21" t="s">
        <v>460</v>
      </c>
      <c r="B204" s="5" t="s">
        <v>1506</v>
      </c>
      <c r="C204" s="5" t="s">
        <v>65</v>
      </c>
      <c r="D204" s="9" t="s">
        <v>461</v>
      </c>
      <c r="E204" s="6">
        <v>46192</v>
      </c>
      <c r="F204" s="91">
        <f t="shared" ref="F204:F220" si="19">EOMONTH(E204,12)</f>
        <v>46568</v>
      </c>
      <c r="G204" s="80" t="s">
        <v>2063</v>
      </c>
      <c r="H204" s="80"/>
      <c r="I204" s="16" t="s">
        <v>1310</v>
      </c>
      <c r="J204" s="16" t="s">
        <v>2029</v>
      </c>
      <c r="K204" s="5" t="s">
        <v>6</v>
      </c>
      <c r="L204" s="10" t="str">
        <f t="shared" ca="1" si="18"/>
        <v>Calibrado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" hidden="1" customHeight="1">
      <c r="A205" s="21" t="s">
        <v>146</v>
      </c>
      <c r="B205" s="5" t="s">
        <v>1506</v>
      </c>
      <c r="C205" s="5" t="s">
        <v>65</v>
      </c>
      <c r="D205" s="9">
        <v>52049301</v>
      </c>
      <c r="E205" s="6">
        <v>46036</v>
      </c>
      <c r="F205" s="91">
        <f t="shared" si="19"/>
        <v>46418</v>
      </c>
      <c r="G205" s="78"/>
      <c r="H205" s="78" t="s">
        <v>2066</v>
      </c>
      <c r="I205" s="16" t="s">
        <v>1005</v>
      </c>
      <c r="J205" s="16" t="s">
        <v>1669</v>
      </c>
      <c r="K205" s="5" t="s">
        <v>6</v>
      </c>
      <c r="L205" s="10" t="str">
        <f t="shared" ca="1" si="18"/>
        <v>Calibrado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" hidden="1" customHeight="1">
      <c r="A206" s="21" t="s">
        <v>459</v>
      </c>
      <c r="B206" s="5" t="s">
        <v>1506</v>
      </c>
      <c r="C206" s="5" t="s">
        <v>65</v>
      </c>
      <c r="D206" s="9" t="s">
        <v>725</v>
      </c>
      <c r="E206" s="6">
        <v>45953</v>
      </c>
      <c r="F206" s="91">
        <f t="shared" si="19"/>
        <v>46326</v>
      </c>
      <c r="G206" s="80" t="s">
        <v>2063</v>
      </c>
      <c r="H206" s="80"/>
      <c r="I206" s="16" t="s">
        <v>1533</v>
      </c>
      <c r="J206" s="16"/>
      <c r="K206" s="5" t="s">
        <v>6</v>
      </c>
      <c r="L206" s="10" t="str">
        <f t="shared" ca="1" si="18"/>
        <v>Calibrado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" hidden="1" customHeight="1">
      <c r="A207" s="21" t="s">
        <v>457</v>
      </c>
      <c r="B207" s="5" t="s">
        <v>1506</v>
      </c>
      <c r="C207" s="5" t="s">
        <v>65</v>
      </c>
      <c r="D207" s="9" t="s">
        <v>458</v>
      </c>
      <c r="E207" s="6">
        <v>46195</v>
      </c>
      <c r="F207" s="91">
        <f t="shared" si="19"/>
        <v>46568</v>
      </c>
      <c r="G207" s="80" t="s">
        <v>2063</v>
      </c>
      <c r="H207" s="80"/>
      <c r="I207" s="16" t="s">
        <v>1311</v>
      </c>
      <c r="J207" s="16" t="s">
        <v>2030</v>
      </c>
      <c r="K207" s="5" t="s">
        <v>6</v>
      </c>
      <c r="L207" s="10" t="str">
        <f t="shared" ca="1" si="18"/>
        <v>Calibrado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" hidden="1" customHeight="1">
      <c r="A208" s="21" t="s">
        <v>456</v>
      </c>
      <c r="B208" s="88" t="s">
        <v>1506</v>
      </c>
      <c r="C208" s="5" t="s">
        <v>65</v>
      </c>
      <c r="D208" s="9">
        <v>52045998</v>
      </c>
      <c r="E208" s="6">
        <v>46224</v>
      </c>
      <c r="F208" s="91">
        <f t="shared" si="19"/>
        <v>46599</v>
      </c>
      <c r="G208" s="80" t="s">
        <v>2063</v>
      </c>
      <c r="H208" s="89" t="s">
        <v>2107</v>
      </c>
      <c r="I208" s="16" t="s">
        <v>1364</v>
      </c>
      <c r="J208" s="16" t="s">
        <v>2106</v>
      </c>
      <c r="K208" s="5" t="s">
        <v>6</v>
      </c>
      <c r="L208" s="10" t="str">
        <f t="shared" ca="1" si="18"/>
        <v>Calibrado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" hidden="1" customHeight="1">
      <c r="A209" s="21" t="s">
        <v>455</v>
      </c>
      <c r="B209" s="5" t="s">
        <v>1506</v>
      </c>
      <c r="C209" s="5" t="s">
        <v>65</v>
      </c>
      <c r="D209" s="9">
        <v>520448070</v>
      </c>
      <c r="E209" s="6">
        <v>45885</v>
      </c>
      <c r="F209" s="91">
        <f t="shared" si="19"/>
        <v>46265</v>
      </c>
      <c r="G209" s="80"/>
      <c r="H209" s="80"/>
      <c r="I209" s="16" t="s">
        <v>1406</v>
      </c>
      <c r="J209" s="16"/>
      <c r="K209" s="5" t="s">
        <v>6</v>
      </c>
      <c r="L209" s="10" t="str">
        <f t="shared" ca="1" si="18"/>
        <v>Calibrado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" hidden="1" customHeight="1">
      <c r="A210" s="21" t="s">
        <v>145</v>
      </c>
      <c r="B210" s="5" t="s">
        <v>1506</v>
      </c>
      <c r="C210" s="5" t="s">
        <v>65</v>
      </c>
      <c r="D210" s="9">
        <v>520450460</v>
      </c>
      <c r="E210" s="6">
        <v>46037</v>
      </c>
      <c r="F210" s="91">
        <f t="shared" si="19"/>
        <v>46418</v>
      </c>
      <c r="G210" s="78"/>
      <c r="H210" s="78" t="s">
        <v>2066</v>
      </c>
      <c r="I210" s="16" t="s">
        <v>1006</v>
      </c>
      <c r="J210" s="16" t="s">
        <v>1670</v>
      </c>
      <c r="K210" s="5" t="s">
        <v>6</v>
      </c>
      <c r="L210" s="10" t="str">
        <f t="shared" ca="1" si="18"/>
        <v>Calibrado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" hidden="1" customHeight="1">
      <c r="A211" s="21" t="s">
        <v>454</v>
      </c>
      <c r="B211" s="5" t="s">
        <v>1506</v>
      </c>
      <c r="C211" s="4" t="s">
        <v>65</v>
      </c>
      <c r="D211" s="9">
        <v>520541380</v>
      </c>
      <c r="E211" s="6">
        <v>46224</v>
      </c>
      <c r="F211" s="91">
        <f t="shared" si="19"/>
        <v>46599</v>
      </c>
      <c r="G211" s="80" t="s">
        <v>2063</v>
      </c>
      <c r="H211" s="80" t="s">
        <v>2066</v>
      </c>
      <c r="I211" s="16" t="s">
        <v>1365</v>
      </c>
      <c r="J211" s="16" t="s">
        <v>2108</v>
      </c>
      <c r="K211" s="5" t="s">
        <v>6</v>
      </c>
      <c r="L211" s="10" t="str">
        <f t="shared" ca="1" si="18"/>
        <v>Calibrado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" hidden="1" customHeight="1">
      <c r="A212" s="21" t="s">
        <v>452</v>
      </c>
      <c r="B212" s="5" t="s">
        <v>1506</v>
      </c>
      <c r="C212" s="5" t="s">
        <v>65</v>
      </c>
      <c r="D212" s="9" t="s">
        <v>453</v>
      </c>
      <c r="E212" s="6">
        <v>46195</v>
      </c>
      <c r="F212" s="91">
        <f t="shared" si="19"/>
        <v>46568</v>
      </c>
      <c r="G212" s="80" t="s">
        <v>2063</v>
      </c>
      <c r="H212" s="80"/>
      <c r="I212" s="16" t="s">
        <v>1312</v>
      </c>
      <c r="J212" s="16" t="s">
        <v>2031</v>
      </c>
      <c r="K212" s="5" t="s">
        <v>6</v>
      </c>
      <c r="L212" s="10" t="str">
        <f t="shared" ca="1" si="18"/>
        <v>Calibrado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" hidden="1" customHeight="1">
      <c r="A213" s="21" t="s">
        <v>451</v>
      </c>
      <c r="B213" s="5" t="s">
        <v>1506</v>
      </c>
      <c r="C213" s="4" t="s">
        <v>65</v>
      </c>
      <c r="D213" s="9">
        <v>518729640</v>
      </c>
      <c r="E213" s="6">
        <v>46224</v>
      </c>
      <c r="F213" s="91">
        <f t="shared" si="19"/>
        <v>46599</v>
      </c>
      <c r="G213" s="80" t="s">
        <v>2062</v>
      </c>
      <c r="H213" s="80" t="s">
        <v>2066</v>
      </c>
      <c r="I213" s="16" t="s">
        <v>1366</v>
      </c>
      <c r="J213" s="16" t="s">
        <v>2109</v>
      </c>
      <c r="K213" s="5" t="s">
        <v>6</v>
      </c>
      <c r="L213" s="10" t="str">
        <f t="shared" ca="1" si="18"/>
        <v>Calibrado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" hidden="1" customHeight="1">
      <c r="A214" s="21" t="s">
        <v>450</v>
      </c>
      <c r="B214" s="5" t="s">
        <v>1506</v>
      </c>
      <c r="C214" s="4" t="s">
        <v>65</v>
      </c>
      <c r="D214" s="9">
        <v>552213360</v>
      </c>
      <c r="E214" s="2">
        <v>46225</v>
      </c>
      <c r="F214" s="91">
        <f t="shared" si="19"/>
        <v>46599</v>
      </c>
      <c r="G214" s="80" t="s">
        <v>2062</v>
      </c>
      <c r="H214" s="80" t="s">
        <v>2066</v>
      </c>
      <c r="I214" s="16" t="s">
        <v>1367</v>
      </c>
      <c r="J214" s="16" t="s">
        <v>2110</v>
      </c>
      <c r="K214" s="5" t="s">
        <v>6</v>
      </c>
      <c r="L214" s="10" t="str">
        <f t="shared" ca="1" si="18"/>
        <v>Calibrado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" hidden="1" customHeight="1">
      <c r="A215" s="21" t="s">
        <v>449</v>
      </c>
      <c r="B215" s="5" t="s">
        <v>1506</v>
      </c>
      <c r="C215" s="4" t="s">
        <v>65</v>
      </c>
      <c r="D215" s="9">
        <v>464760300</v>
      </c>
      <c r="E215" s="2">
        <v>46225</v>
      </c>
      <c r="F215" s="91">
        <f t="shared" si="19"/>
        <v>46599</v>
      </c>
      <c r="G215" s="80" t="s">
        <v>2062</v>
      </c>
      <c r="H215" s="80" t="s">
        <v>2066</v>
      </c>
      <c r="I215" s="16" t="s">
        <v>1369</v>
      </c>
      <c r="J215" s="16" t="s">
        <v>2111</v>
      </c>
      <c r="K215" s="5" t="s">
        <v>6</v>
      </c>
      <c r="L215" s="10" t="str">
        <f t="shared" ca="1" si="18"/>
        <v>Calibrado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" hidden="1" customHeight="1">
      <c r="A216" s="21" t="s">
        <v>448</v>
      </c>
      <c r="B216" s="5" t="s">
        <v>1506</v>
      </c>
      <c r="C216" s="22" t="s">
        <v>32</v>
      </c>
      <c r="D216" s="9" t="s">
        <v>726</v>
      </c>
      <c r="E216" s="6">
        <v>46183</v>
      </c>
      <c r="F216" s="91">
        <f t="shared" si="19"/>
        <v>46568</v>
      </c>
      <c r="G216" s="80" t="s">
        <v>2062</v>
      </c>
      <c r="H216" s="80"/>
      <c r="I216" s="16" t="s">
        <v>1327</v>
      </c>
      <c r="J216" s="16" t="s">
        <v>2004</v>
      </c>
      <c r="K216" s="5" t="s">
        <v>6</v>
      </c>
      <c r="L216" s="10" t="str">
        <f t="shared" ca="1" si="18"/>
        <v>Calibrado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" hidden="1" customHeight="1">
      <c r="A217" s="21" t="s">
        <v>447</v>
      </c>
      <c r="B217" s="88" t="s">
        <v>1506</v>
      </c>
      <c r="C217" s="40" t="s">
        <v>62</v>
      </c>
      <c r="D217" s="9" t="s">
        <v>28</v>
      </c>
      <c r="E217" s="6">
        <v>46209</v>
      </c>
      <c r="F217" s="91">
        <f t="shared" si="19"/>
        <v>46599</v>
      </c>
      <c r="G217" s="80" t="s">
        <v>2062</v>
      </c>
      <c r="H217" s="89" t="s">
        <v>2065</v>
      </c>
      <c r="I217" s="16" t="s">
        <v>1339</v>
      </c>
      <c r="J217" s="16" t="s">
        <v>2061</v>
      </c>
      <c r="K217" s="5" t="s">
        <v>6</v>
      </c>
      <c r="L217" s="10" t="str">
        <f t="shared" ca="1" si="18"/>
        <v>Calibrado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" hidden="1" customHeight="1">
      <c r="A218" s="21" t="s">
        <v>446</v>
      </c>
      <c r="B218" s="5" t="s">
        <v>1506</v>
      </c>
      <c r="C218" s="22" t="s">
        <v>32</v>
      </c>
      <c r="D218" s="9" t="s">
        <v>728</v>
      </c>
      <c r="E218" s="6">
        <v>46183</v>
      </c>
      <c r="F218" s="91">
        <f t="shared" si="19"/>
        <v>46568</v>
      </c>
      <c r="G218" s="80" t="s">
        <v>2063</v>
      </c>
      <c r="H218" s="80"/>
      <c r="I218" s="16" t="s">
        <v>1328</v>
      </c>
      <c r="J218" s="16" t="s">
        <v>2005</v>
      </c>
      <c r="K218" s="5" t="s">
        <v>6</v>
      </c>
      <c r="L218" s="10" t="str">
        <f t="shared" ca="1" si="18"/>
        <v>Calibrado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" hidden="1" customHeight="1">
      <c r="A219" s="21" t="s">
        <v>445</v>
      </c>
      <c r="B219" s="5" t="s">
        <v>1506</v>
      </c>
      <c r="C219" s="22" t="s">
        <v>32</v>
      </c>
      <c r="D219" s="9" t="s">
        <v>729</v>
      </c>
      <c r="E219" s="6">
        <v>46183</v>
      </c>
      <c r="F219" s="91">
        <f t="shared" si="19"/>
        <v>46568</v>
      </c>
      <c r="G219" s="80" t="s">
        <v>2063</v>
      </c>
      <c r="H219" s="80"/>
      <c r="I219" s="16" t="s">
        <v>1329</v>
      </c>
      <c r="J219" s="16" t="s">
        <v>2006</v>
      </c>
      <c r="K219" s="5" t="s">
        <v>6</v>
      </c>
      <c r="L219" s="10" t="str">
        <f t="shared" ca="1" si="18"/>
        <v>Calibrado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" hidden="1" customHeight="1">
      <c r="A220" s="21" t="s">
        <v>444</v>
      </c>
      <c r="B220" s="5" t="s">
        <v>1506</v>
      </c>
      <c r="C220" s="22" t="s">
        <v>32</v>
      </c>
      <c r="D220" s="9" t="s">
        <v>29</v>
      </c>
      <c r="E220" s="6">
        <v>46218</v>
      </c>
      <c r="F220" s="91">
        <f t="shared" si="19"/>
        <v>46599</v>
      </c>
      <c r="G220" s="80" t="s">
        <v>2063</v>
      </c>
      <c r="H220" s="80" t="s">
        <v>2066</v>
      </c>
      <c r="I220" s="16" t="s">
        <v>1354</v>
      </c>
      <c r="J220" s="16" t="s">
        <v>2086</v>
      </c>
      <c r="K220" s="5" t="s">
        <v>6</v>
      </c>
      <c r="L220" s="10" t="str">
        <f t="shared" ca="1" si="18"/>
        <v>Calibrado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" hidden="1" customHeight="1">
      <c r="A221" s="21" t="s">
        <v>727</v>
      </c>
      <c r="B221" s="5" t="s">
        <v>1506</v>
      </c>
      <c r="C221" s="4" t="s">
        <v>65</v>
      </c>
      <c r="D221" s="9">
        <v>518717080</v>
      </c>
      <c r="E221" s="6">
        <v>46120</v>
      </c>
      <c r="F221" s="91">
        <f>EOMONTH(E221,12)</f>
        <v>46507</v>
      </c>
      <c r="G221" s="78"/>
      <c r="H221" s="78"/>
      <c r="I221" s="16" t="s">
        <v>1160</v>
      </c>
      <c r="J221" s="16" t="s">
        <v>1875</v>
      </c>
      <c r="K221" s="5" t="s">
        <v>6</v>
      </c>
      <c r="L221" s="10" t="str">
        <f t="shared" ca="1" si="18"/>
        <v>Calibrado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" hidden="1" customHeight="1">
      <c r="A222" s="21" t="s">
        <v>443</v>
      </c>
      <c r="B222" s="5" t="s">
        <v>1506</v>
      </c>
      <c r="C222" s="4" t="s">
        <v>65</v>
      </c>
      <c r="D222" s="9">
        <v>518729620</v>
      </c>
      <c r="E222" s="2">
        <v>46225</v>
      </c>
      <c r="F222" s="91">
        <f t="shared" ref="F222:F241" si="20">EOMONTH(E222,12)</f>
        <v>46599</v>
      </c>
      <c r="G222" s="80" t="s">
        <v>2062</v>
      </c>
      <c r="H222" s="80" t="s">
        <v>2066</v>
      </c>
      <c r="I222" s="16" t="s">
        <v>1370</v>
      </c>
      <c r="J222" s="16" t="s">
        <v>2112</v>
      </c>
      <c r="K222" s="5" t="s">
        <v>6</v>
      </c>
      <c r="L222" s="10" t="str">
        <f t="shared" ca="1" si="18"/>
        <v>Calibrado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" hidden="1" customHeight="1">
      <c r="A223" s="21" t="s">
        <v>442</v>
      </c>
      <c r="B223" s="5" t="s">
        <v>1506</v>
      </c>
      <c r="C223" s="5" t="s">
        <v>65</v>
      </c>
      <c r="D223" s="9">
        <v>520621390</v>
      </c>
      <c r="E223" s="6">
        <v>45885</v>
      </c>
      <c r="F223" s="91">
        <f t="shared" si="20"/>
        <v>46265</v>
      </c>
      <c r="G223" s="80"/>
      <c r="H223" s="80"/>
      <c r="I223" s="16" t="s">
        <v>1407</v>
      </c>
      <c r="J223" s="16"/>
      <c r="K223" s="5" t="s">
        <v>6</v>
      </c>
      <c r="L223" s="10" t="str">
        <f t="shared" ca="1" si="18"/>
        <v>Calibrado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" hidden="1" customHeight="1">
      <c r="A224" s="21" t="s">
        <v>440</v>
      </c>
      <c r="B224" s="5" t="s">
        <v>1506</v>
      </c>
      <c r="C224" s="5" t="s">
        <v>65</v>
      </c>
      <c r="D224" s="9" t="s">
        <v>441</v>
      </c>
      <c r="E224" s="6">
        <v>46195</v>
      </c>
      <c r="F224" s="91">
        <f t="shared" si="20"/>
        <v>46568</v>
      </c>
      <c r="G224" s="80" t="s">
        <v>2062</v>
      </c>
      <c r="H224" s="80"/>
      <c r="I224" s="16" t="s">
        <v>1313</v>
      </c>
      <c r="J224" s="16" t="s">
        <v>2032</v>
      </c>
      <c r="K224" s="5" t="s">
        <v>6</v>
      </c>
      <c r="L224" s="10" t="str">
        <f t="shared" ca="1" si="18"/>
        <v>Calibrado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" hidden="1" customHeight="1">
      <c r="A225" s="21" t="s">
        <v>439</v>
      </c>
      <c r="B225" s="5" t="s">
        <v>1506</v>
      </c>
      <c r="C225" s="5" t="s">
        <v>65</v>
      </c>
      <c r="D225" s="9">
        <v>517169880</v>
      </c>
      <c r="E225" s="6">
        <v>45887</v>
      </c>
      <c r="F225" s="91">
        <f t="shared" si="20"/>
        <v>46265</v>
      </c>
      <c r="G225" s="80"/>
      <c r="H225" s="80"/>
      <c r="I225" s="16" t="s">
        <v>1408</v>
      </c>
      <c r="J225" s="16"/>
      <c r="K225" s="5" t="s">
        <v>6</v>
      </c>
      <c r="L225" s="10" t="str">
        <f t="shared" ca="1" si="18"/>
        <v>Calibrado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" hidden="1" customHeight="1">
      <c r="A226" s="21" t="s">
        <v>438</v>
      </c>
      <c r="B226" s="5" t="s">
        <v>1506</v>
      </c>
      <c r="C226" s="5" t="s">
        <v>65</v>
      </c>
      <c r="D226" s="9" t="s">
        <v>730</v>
      </c>
      <c r="E226" s="6">
        <v>45926</v>
      </c>
      <c r="F226" s="91">
        <f t="shared" si="20"/>
        <v>46295</v>
      </c>
      <c r="G226" s="80" t="s">
        <v>2063</v>
      </c>
      <c r="H226" s="80"/>
      <c r="I226" s="16" t="s">
        <v>1480</v>
      </c>
      <c r="J226" s="16"/>
      <c r="K226" s="5" t="s">
        <v>6</v>
      </c>
      <c r="L226" s="10" t="str">
        <f t="shared" ca="1" si="18"/>
        <v>Calibrado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" hidden="1" customHeight="1">
      <c r="A227" s="21" t="s">
        <v>437</v>
      </c>
      <c r="B227" s="5" t="s">
        <v>1506</v>
      </c>
      <c r="C227" s="5" t="s">
        <v>65</v>
      </c>
      <c r="D227" s="9" t="s">
        <v>731</v>
      </c>
      <c r="E227" s="6">
        <v>45926</v>
      </c>
      <c r="F227" s="91">
        <f t="shared" si="20"/>
        <v>46295</v>
      </c>
      <c r="G227" s="80" t="s">
        <v>2062</v>
      </c>
      <c r="H227" s="80"/>
      <c r="I227" s="16" t="s">
        <v>1481</v>
      </c>
      <c r="J227" s="16"/>
      <c r="K227" s="5" t="s">
        <v>6</v>
      </c>
      <c r="L227" s="10" t="str">
        <f t="shared" ca="1" si="18"/>
        <v>Calibrado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" hidden="1" customHeight="1">
      <c r="A228" s="21" t="s">
        <v>436</v>
      </c>
      <c r="B228" s="5" t="s">
        <v>1506</v>
      </c>
      <c r="C228" s="22" t="s">
        <v>32</v>
      </c>
      <c r="D228" s="9" t="s">
        <v>732</v>
      </c>
      <c r="E228" s="6">
        <v>45891</v>
      </c>
      <c r="F228" s="91">
        <f t="shared" si="20"/>
        <v>46265</v>
      </c>
      <c r="G228" s="80"/>
      <c r="H228" s="80"/>
      <c r="I228" s="16" t="s">
        <v>1416</v>
      </c>
      <c r="J228" s="16"/>
      <c r="K228" s="5" t="s">
        <v>6</v>
      </c>
      <c r="L228" s="10" t="str">
        <f t="shared" ca="1" si="18"/>
        <v>Calibrado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" hidden="1" customHeight="1">
      <c r="A229" s="21" t="s">
        <v>435</v>
      </c>
      <c r="B229" s="5" t="s">
        <v>1506</v>
      </c>
      <c r="C229" s="5" t="s">
        <v>65</v>
      </c>
      <c r="D229" s="9">
        <v>520479600</v>
      </c>
      <c r="E229" s="6">
        <v>46059</v>
      </c>
      <c r="F229" s="91">
        <f t="shared" si="20"/>
        <v>46446</v>
      </c>
      <c r="G229" s="80" t="s">
        <v>2063</v>
      </c>
      <c r="H229" s="78" t="s">
        <v>2066</v>
      </c>
      <c r="I229" s="16" t="s">
        <v>1059</v>
      </c>
      <c r="J229" s="16" t="s">
        <v>1767</v>
      </c>
      <c r="K229" s="5" t="s">
        <v>6</v>
      </c>
      <c r="L229" s="10" t="str">
        <f t="shared" ca="1" si="18"/>
        <v>Calibrado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" hidden="1" customHeight="1">
      <c r="A230" s="21" t="s">
        <v>434</v>
      </c>
      <c r="B230" s="5" t="s">
        <v>1506</v>
      </c>
      <c r="C230" s="5" t="s">
        <v>65</v>
      </c>
      <c r="D230" s="9">
        <v>552776460</v>
      </c>
      <c r="E230" s="6">
        <v>46196</v>
      </c>
      <c r="F230" s="91">
        <f t="shared" si="20"/>
        <v>46568</v>
      </c>
      <c r="G230" s="80" t="s">
        <v>2063</v>
      </c>
      <c r="H230" s="80"/>
      <c r="I230" s="16" t="s">
        <v>1314</v>
      </c>
      <c r="J230" s="16" t="s">
        <v>2033</v>
      </c>
      <c r="K230" s="5" t="s">
        <v>6</v>
      </c>
      <c r="L230" s="10" t="str">
        <f t="shared" ca="1" si="18"/>
        <v>Calibrado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" hidden="1" customHeight="1">
      <c r="A231" s="21" t="s">
        <v>433</v>
      </c>
      <c r="B231" s="88" t="s">
        <v>1506</v>
      </c>
      <c r="C231" s="4" t="s">
        <v>65</v>
      </c>
      <c r="D231" s="9">
        <v>520540620</v>
      </c>
      <c r="E231" s="2">
        <v>46226</v>
      </c>
      <c r="F231" s="91">
        <f t="shared" si="20"/>
        <v>46599</v>
      </c>
      <c r="G231" s="80" t="s">
        <v>2062</v>
      </c>
      <c r="H231" s="89" t="s">
        <v>2114</v>
      </c>
      <c r="I231" s="16" t="s">
        <v>1371</v>
      </c>
      <c r="J231" s="16" t="s">
        <v>2113</v>
      </c>
      <c r="K231" s="5" t="s">
        <v>6</v>
      </c>
      <c r="L231" s="10" t="str">
        <f t="shared" ca="1" si="18"/>
        <v>Calibrado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" hidden="1" customHeight="1">
      <c r="A232" s="21" t="s">
        <v>432</v>
      </c>
      <c r="B232" s="5" t="s">
        <v>1506</v>
      </c>
      <c r="C232" s="22" t="s">
        <v>32</v>
      </c>
      <c r="D232" s="9" t="s">
        <v>30</v>
      </c>
      <c r="E232" s="6">
        <v>45909</v>
      </c>
      <c r="F232" s="91">
        <f t="shared" si="20"/>
        <v>46295</v>
      </c>
      <c r="G232" s="80" t="s">
        <v>2062</v>
      </c>
      <c r="H232" s="80"/>
      <c r="I232" s="16" t="s">
        <v>1453</v>
      </c>
      <c r="J232" s="16"/>
      <c r="K232" s="5" t="s">
        <v>6</v>
      </c>
      <c r="L232" s="10" t="str">
        <f t="shared" ca="1" si="18"/>
        <v>Calibrado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" hidden="1" customHeight="1">
      <c r="A233" s="21" t="s">
        <v>411</v>
      </c>
      <c r="B233" s="5" t="s">
        <v>1506</v>
      </c>
      <c r="C233" s="40" t="s">
        <v>62</v>
      </c>
      <c r="D233" s="9" t="s">
        <v>733</v>
      </c>
      <c r="E233" s="6">
        <v>45902</v>
      </c>
      <c r="F233" s="91">
        <f t="shared" si="20"/>
        <v>46295</v>
      </c>
      <c r="G233" s="80" t="s">
        <v>2063</v>
      </c>
      <c r="H233" s="80"/>
      <c r="I233" s="16" t="s">
        <v>1438</v>
      </c>
      <c r="J233" s="16"/>
      <c r="K233" s="5" t="s">
        <v>6</v>
      </c>
      <c r="L233" s="10" t="str">
        <f t="shared" ca="1" si="18"/>
        <v>Calibrado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" hidden="1" customHeight="1">
      <c r="A234" s="21" t="s">
        <v>144</v>
      </c>
      <c r="B234" s="5" t="s">
        <v>1506</v>
      </c>
      <c r="C234" s="42" t="s">
        <v>7</v>
      </c>
      <c r="D234" s="9">
        <v>52131283</v>
      </c>
      <c r="E234" s="6">
        <v>46050</v>
      </c>
      <c r="F234" s="91">
        <f t="shared" si="20"/>
        <v>46418</v>
      </c>
      <c r="G234" s="78"/>
      <c r="H234" s="78" t="s">
        <v>2066</v>
      </c>
      <c r="I234" s="16" t="s">
        <v>1046</v>
      </c>
      <c r="J234" s="16" t="s">
        <v>1749</v>
      </c>
      <c r="K234" s="5" t="s">
        <v>6</v>
      </c>
      <c r="L234" s="10" t="str">
        <f t="shared" ca="1" si="18"/>
        <v>Calibrado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" hidden="1" customHeight="1">
      <c r="A235" s="21" t="s">
        <v>410</v>
      </c>
      <c r="B235" s="5" t="s">
        <v>1506</v>
      </c>
      <c r="C235" s="40" t="s">
        <v>62</v>
      </c>
      <c r="D235" s="9" t="s">
        <v>734</v>
      </c>
      <c r="E235" s="6">
        <v>45971</v>
      </c>
      <c r="F235" s="91">
        <f t="shared" si="20"/>
        <v>46356</v>
      </c>
      <c r="G235" s="80"/>
      <c r="H235" s="80"/>
      <c r="I235" s="16" t="s">
        <v>1569</v>
      </c>
      <c r="J235" s="16"/>
      <c r="K235" s="5" t="s">
        <v>6</v>
      </c>
      <c r="L235" s="10" t="str">
        <f t="shared" ca="1" si="18"/>
        <v>Calibrado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" hidden="1" customHeight="1">
      <c r="A236" s="21" t="s">
        <v>409</v>
      </c>
      <c r="B236" s="5" t="s">
        <v>1506</v>
      </c>
      <c r="C236" s="22" t="s">
        <v>32</v>
      </c>
      <c r="D236" s="9" t="s">
        <v>735</v>
      </c>
      <c r="E236" s="6">
        <v>45973</v>
      </c>
      <c r="F236" s="91">
        <f t="shared" si="20"/>
        <v>46356</v>
      </c>
      <c r="G236" s="80"/>
      <c r="H236" s="80"/>
      <c r="I236" s="16" t="s">
        <v>1571</v>
      </c>
      <c r="J236" s="16"/>
      <c r="K236" s="5" t="s">
        <v>6</v>
      </c>
      <c r="L236" s="10" t="str">
        <f t="shared" ca="1" si="18"/>
        <v>Calibrado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" hidden="1" customHeight="1">
      <c r="A237" s="21" t="s">
        <v>408</v>
      </c>
      <c r="B237" s="5" t="s">
        <v>1506</v>
      </c>
      <c r="C237" s="42" t="s">
        <v>7</v>
      </c>
      <c r="D237" s="9">
        <v>52130042</v>
      </c>
      <c r="E237" s="6">
        <v>46076</v>
      </c>
      <c r="F237" s="91">
        <f t="shared" si="20"/>
        <v>46446</v>
      </c>
      <c r="G237" s="80" t="s">
        <v>2062</v>
      </c>
      <c r="H237" s="78" t="s">
        <v>2066</v>
      </c>
      <c r="I237" s="16" t="s">
        <v>1087</v>
      </c>
      <c r="J237" s="16" t="s">
        <v>1791</v>
      </c>
      <c r="K237" s="5" t="s">
        <v>6</v>
      </c>
      <c r="L237" s="10" t="str">
        <f t="shared" ca="1" si="18"/>
        <v>Calibrado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" hidden="1" customHeight="1">
      <c r="A238" s="21" t="s">
        <v>407</v>
      </c>
      <c r="B238" s="5" t="s">
        <v>1506</v>
      </c>
      <c r="C238" s="42" t="s">
        <v>7</v>
      </c>
      <c r="D238" s="9">
        <v>52131212</v>
      </c>
      <c r="E238" s="6">
        <v>46076</v>
      </c>
      <c r="F238" s="91">
        <f t="shared" si="20"/>
        <v>46446</v>
      </c>
      <c r="G238" s="80" t="s">
        <v>2063</v>
      </c>
      <c r="H238" s="78" t="s">
        <v>2066</v>
      </c>
      <c r="I238" s="16" t="s">
        <v>1088</v>
      </c>
      <c r="J238" s="16" t="s">
        <v>1792</v>
      </c>
      <c r="K238" s="5" t="s">
        <v>6</v>
      </c>
      <c r="L238" s="10" t="str">
        <f t="shared" ca="1" si="18"/>
        <v>Calibrado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" hidden="1" customHeight="1">
      <c r="A239" s="21" t="s">
        <v>406</v>
      </c>
      <c r="B239" s="5" t="s">
        <v>1506</v>
      </c>
      <c r="C239" s="42" t="s">
        <v>7</v>
      </c>
      <c r="D239" s="5" t="s">
        <v>736</v>
      </c>
      <c r="E239" s="6">
        <v>46077</v>
      </c>
      <c r="F239" s="91">
        <f t="shared" si="20"/>
        <v>46446</v>
      </c>
      <c r="G239" s="80" t="s">
        <v>2062</v>
      </c>
      <c r="H239" s="78" t="s">
        <v>2066</v>
      </c>
      <c r="I239" s="16" t="s">
        <v>1089</v>
      </c>
      <c r="J239" s="16" t="s">
        <v>1793</v>
      </c>
      <c r="K239" s="5" t="s">
        <v>6</v>
      </c>
      <c r="L239" s="10" t="str">
        <f t="shared" ca="1" si="18"/>
        <v>Calibrado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" hidden="1" customHeight="1">
      <c r="A240" s="21" t="s">
        <v>405</v>
      </c>
      <c r="B240" s="5" t="s">
        <v>1506</v>
      </c>
      <c r="C240" s="42" t="s">
        <v>7</v>
      </c>
      <c r="D240" s="5" t="s">
        <v>1090</v>
      </c>
      <c r="E240" s="6">
        <v>46077</v>
      </c>
      <c r="F240" s="91">
        <f t="shared" si="20"/>
        <v>46446</v>
      </c>
      <c r="G240" s="80" t="s">
        <v>2062</v>
      </c>
      <c r="H240" s="78" t="s">
        <v>2066</v>
      </c>
      <c r="I240" s="16" t="s">
        <v>1091</v>
      </c>
      <c r="J240" s="16" t="s">
        <v>1794</v>
      </c>
      <c r="K240" s="5" t="s">
        <v>6</v>
      </c>
      <c r="L240" s="10" t="str">
        <f t="shared" ca="1" si="18"/>
        <v>Calibrado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" hidden="1" customHeight="1">
      <c r="A241" s="20" t="s">
        <v>737</v>
      </c>
      <c r="B241" s="5" t="s">
        <v>1506</v>
      </c>
      <c r="C241" s="42" t="s">
        <v>7</v>
      </c>
      <c r="D241" s="9" t="s">
        <v>911</v>
      </c>
      <c r="E241" s="6">
        <v>46114</v>
      </c>
      <c r="F241" s="91">
        <f t="shared" si="20"/>
        <v>46507</v>
      </c>
      <c r="G241" s="78"/>
      <c r="H241" s="78"/>
      <c r="I241" s="16" t="s">
        <v>1147</v>
      </c>
      <c r="J241" s="16" t="s">
        <v>1867</v>
      </c>
      <c r="K241" s="5" t="s">
        <v>6</v>
      </c>
      <c r="L241" s="10" t="str">
        <f t="shared" ca="1" si="18"/>
        <v>Calibrado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" hidden="1" customHeight="1">
      <c r="A242" s="21" t="s">
        <v>404</v>
      </c>
      <c r="B242" s="88" t="s">
        <v>1506</v>
      </c>
      <c r="C242" s="40" t="s">
        <v>62</v>
      </c>
      <c r="D242" s="5" t="s">
        <v>738</v>
      </c>
      <c r="E242" s="6">
        <v>46209</v>
      </c>
      <c r="F242" s="91">
        <f t="shared" ref="F242:F258" si="21">EOMONTH(E242,12)</f>
        <v>46599</v>
      </c>
      <c r="G242" s="80" t="s">
        <v>2063</v>
      </c>
      <c r="H242" s="89" t="s">
        <v>2065</v>
      </c>
      <c r="I242" s="16" t="s">
        <v>1340</v>
      </c>
      <c r="J242" s="16" t="s">
        <v>2070</v>
      </c>
      <c r="K242" s="5" t="s">
        <v>6</v>
      </c>
      <c r="L242" s="10" t="str">
        <f t="shared" ca="1" si="18"/>
        <v>Calibrado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" hidden="1" customHeight="1">
      <c r="A243" s="21" t="s">
        <v>403</v>
      </c>
      <c r="B243" s="5" t="s">
        <v>1506</v>
      </c>
      <c r="C243" s="5" t="s">
        <v>65</v>
      </c>
      <c r="D243" s="9" t="s">
        <v>739</v>
      </c>
      <c r="E243" s="6">
        <v>46086</v>
      </c>
      <c r="F243" s="91">
        <f t="shared" si="21"/>
        <v>46477</v>
      </c>
      <c r="G243" s="80" t="s">
        <v>2063</v>
      </c>
      <c r="H243" s="80"/>
      <c r="I243" s="16" t="s">
        <v>1103</v>
      </c>
      <c r="J243" s="16" t="s">
        <v>1812</v>
      </c>
      <c r="K243" s="5" t="s">
        <v>6</v>
      </c>
      <c r="L243" s="10" t="str">
        <f t="shared" ca="1" si="18"/>
        <v>Calibrado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" hidden="1" customHeight="1">
      <c r="A244" s="21" t="s">
        <v>402</v>
      </c>
      <c r="B244" s="5" t="s">
        <v>1506</v>
      </c>
      <c r="C244" s="5" t="s">
        <v>65</v>
      </c>
      <c r="D244" s="9" t="s">
        <v>741</v>
      </c>
      <c r="E244" s="6">
        <v>46160</v>
      </c>
      <c r="F244" s="91">
        <f t="shared" si="21"/>
        <v>46538</v>
      </c>
      <c r="G244" s="80"/>
      <c r="H244" s="80"/>
      <c r="I244" s="16" t="s">
        <v>1253</v>
      </c>
      <c r="J244" s="16" t="s">
        <v>1945</v>
      </c>
      <c r="K244" s="5" t="s">
        <v>6</v>
      </c>
      <c r="L244" s="10" t="str">
        <f t="shared" ca="1" si="18"/>
        <v>Calibrado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" hidden="1" customHeight="1">
      <c r="A245" s="21" t="s">
        <v>401</v>
      </c>
      <c r="B245" s="5" t="s">
        <v>1506</v>
      </c>
      <c r="C245" s="5" t="s">
        <v>65</v>
      </c>
      <c r="D245" s="9" t="s">
        <v>740</v>
      </c>
      <c r="E245" s="6">
        <v>46160</v>
      </c>
      <c r="F245" s="91">
        <f t="shared" si="21"/>
        <v>46538</v>
      </c>
      <c r="G245" s="80"/>
      <c r="H245" s="80"/>
      <c r="I245" s="16" t="s">
        <v>1254</v>
      </c>
      <c r="J245" s="16" t="s">
        <v>1946</v>
      </c>
      <c r="K245" s="5" t="s">
        <v>6</v>
      </c>
      <c r="L245" s="10" t="str">
        <f t="shared" ca="1" si="18"/>
        <v>Calibrado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" hidden="1" customHeight="1">
      <c r="A246" s="21" t="s">
        <v>400</v>
      </c>
      <c r="B246" s="5" t="s">
        <v>1506</v>
      </c>
      <c r="C246" s="42" t="s">
        <v>7</v>
      </c>
      <c r="D246" s="9" t="s">
        <v>930</v>
      </c>
      <c r="E246" s="6">
        <v>46168</v>
      </c>
      <c r="F246" s="91">
        <f t="shared" si="21"/>
        <v>46538</v>
      </c>
      <c r="G246" s="80"/>
      <c r="H246" s="80"/>
      <c r="I246" s="16" t="s">
        <v>1236</v>
      </c>
      <c r="J246" s="16" t="s">
        <v>1975</v>
      </c>
      <c r="K246" s="5" t="s">
        <v>6</v>
      </c>
      <c r="L246" s="10" t="str">
        <f t="shared" ca="1" si="18"/>
        <v>Calibrado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" hidden="1" customHeight="1">
      <c r="A247" s="21" t="s">
        <v>399</v>
      </c>
      <c r="B247" s="5" t="s">
        <v>1506</v>
      </c>
      <c r="C247" s="42" t="s">
        <v>7</v>
      </c>
      <c r="D247" s="9">
        <v>52129926</v>
      </c>
      <c r="E247" s="6">
        <v>46241</v>
      </c>
      <c r="F247" s="91">
        <f t="shared" si="21"/>
        <v>46630</v>
      </c>
      <c r="G247" s="80"/>
      <c r="H247" s="80" t="s">
        <v>2066</v>
      </c>
      <c r="I247" s="16" t="s">
        <v>1426</v>
      </c>
      <c r="J247" s="16" t="s">
        <v>2182</v>
      </c>
      <c r="K247" s="5" t="s">
        <v>6</v>
      </c>
      <c r="L247" s="10" t="str">
        <f t="shared" ca="1" si="18"/>
        <v>Calibrado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" hidden="1" customHeight="1">
      <c r="A248" s="21" t="s">
        <v>398</v>
      </c>
      <c r="B248" s="88" t="s">
        <v>1506</v>
      </c>
      <c r="C248" s="5" t="s">
        <v>65</v>
      </c>
      <c r="D248" s="9">
        <v>552808090</v>
      </c>
      <c r="E248" s="6">
        <v>46059</v>
      </c>
      <c r="F248" s="91">
        <f t="shared" si="21"/>
        <v>46446</v>
      </c>
      <c r="G248" s="80" t="s">
        <v>2063</v>
      </c>
      <c r="H248" s="89" t="s">
        <v>2096</v>
      </c>
      <c r="I248" s="16" t="s">
        <v>1060</v>
      </c>
      <c r="J248" s="16" t="s">
        <v>1768</v>
      </c>
      <c r="K248" s="5" t="s">
        <v>6</v>
      </c>
      <c r="L248" s="10" t="str">
        <f t="shared" ca="1" si="18"/>
        <v>Calibrado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" hidden="1" customHeight="1">
      <c r="A249" s="21" t="s">
        <v>397</v>
      </c>
      <c r="B249" s="5" t="s">
        <v>1506</v>
      </c>
      <c r="C249" s="42" t="s">
        <v>7</v>
      </c>
      <c r="D249" s="59">
        <v>24586363</v>
      </c>
      <c r="E249" s="6">
        <v>46003</v>
      </c>
      <c r="F249" s="91">
        <f t="shared" si="21"/>
        <v>46387</v>
      </c>
      <c r="G249" s="80"/>
      <c r="H249" s="80"/>
      <c r="I249" s="16" t="s">
        <v>1623</v>
      </c>
      <c r="J249" s="16"/>
      <c r="K249" s="5" t="s">
        <v>6</v>
      </c>
      <c r="L249" s="10" t="str">
        <f t="shared" ca="1" si="18"/>
        <v>Calibrado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" hidden="1" customHeight="1">
      <c r="A250" s="21" t="s">
        <v>396</v>
      </c>
      <c r="B250" s="5" t="s">
        <v>1506</v>
      </c>
      <c r="C250" s="42" t="s">
        <v>7</v>
      </c>
      <c r="D250" s="59">
        <v>24288939</v>
      </c>
      <c r="E250" s="6">
        <v>45951</v>
      </c>
      <c r="F250" s="91">
        <f t="shared" si="21"/>
        <v>46326</v>
      </c>
      <c r="G250" s="80" t="s">
        <v>2062</v>
      </c>
      <c r="H250" s="80"/>
      <c r="I250" s="16" t="s">
        <v>1528</v>
      </c>
      <c r="J250" s="16"/>
      <c r="K250" s="5" t="s">
        <v>6</v>
      </c>
      <c r="L250" s="10" t="str">
        <f t="shared" ca="1" si="18"/>
        <v>Calibrado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" hidden="1" customHeight="1">
      <c r="A251" s="21" t="s">
        <v>395</v>
      </c>
      <c r="B251" s="88" t="s">
        <v>1506</v>
      </c>
      <c r="C251" s="42" t="s">
        <v>7</v>
      </c>
      <c r="D251" s="59" t="s">
        <v>742</v>
      </c>
      <c r="E251" s="6">
        <v>46244</v>
      </c>
      <c r="F251" s="91">
        <f t="shared" si="21"/>
        <v>46630</v>
      </c>
      <c r="G251" s="80"/>
      <c r="H251" s="89" t="s">
        <v>2183</v>
      </c>
      <c r="I251" s="16" t="s">
        <v>1427</v>
      </c>
      <c r="J251" s="16" t="s">
        <v>2184</v>
      </c>
      <c r="K251" s="5" t="s">
        <v>6</v>
      </c>
      <c r="L251" s="10" t="str">
        <f t="shared" ca="1" si="18"/>
        <v>Calibrado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" hidden="1" customHeight="1">
      <c r="A252" s="21" t="s">
        <v>394</v>
      </c>
      <c r="B252" s="5" t="s">
        <v>1506</v>
      </c>
      <c r="C252" s="42" t="s">
        <v>7</v>
      </c>
      <c r="D252" s="59" t="s">
        <v>743</v>
      </c>
      <c r="E252" s="6">
        <v>46003</v>
      </c>
      <c r="F252" s="91">
        <f t="shared" si="21"/>
        <v>46387</v>
      </c>
      <c r="G252" s="80"/>
      <c r="H252" s="80"/>
      <c r="I252" s="16" t="s">
        <v>1624</v>
      </c>
      <c r="J252" s="16"/>
      <c r="K252" s="5" t="s">
        <v>6</v>
      </c>
      <c r="L252" s="10" t="str">
        <f t="shared" ca="1" si="18"/>
        <v>Calibrado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" hidden="1" customHeight="1">
      <c r="A253" s="21" t="s">
        <v>393</v>
      </c>
      <c r="B253" s="5" t="s">
        <v>1506</v>
      </c>
      <c r="C253" s="42" t="s">
        <v>7</v>
      </c>
      <c r="D253" s="59" t="s">
        <v>744</v>
      </c>
      <c r="E253" s="6">
        <v>45980</v>
      </c>
      <c r="F253" s="91">
        <f t="shared" si="21"/>
        <v>46356</v>
      </c>
      <c r="G253" s="80"/>
      <c r="H253" s="80"/>
      <c r="I253" s="16" t="s">
        <v>1579</v>
      </c>
      <c r="J253" s="16"/>
      <c r="K253" s="5" t="s">
        <v>6</v>
      </c>
      <c r="L253" s="10" t="str">
        <f t="shared" ca="1" si="18"/>
        <v>Calibrado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" hidden="1" customHeight="1">
      <c r="A254" s="21" t="s">
        <v>392</v>
      </c>
      <c r="B254" s="5" t="s">
        <v>1506</v>
      </c>
      <c r="C254" s="42" t="s">
        <v>7</v>
      </c>
      <c r="D254" s="59" t="s">
        <v>745</v>
      </c>
      <c r="E254" s="6">
        <v>46003</v>
      </c>
      <c r="F254" s="91">
        <f t="shared" si="21"/>
        <v>46387</v>
      </c>
      <c r="G254" s="80"/>
      <c r="H254" s="80"/>
      <c r="I254" s="16" t="s">
        <v>1625</v>
      </c>
      <c r="J254" s="16"/>
      <c r="K254" s="5" t="s">
        <v>6</v>
      </c>
      <c r="L254" s="10" t="str">
        <f t="shared" ca="1" si="18"/>
        <v>Calibrado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" hidden="1" customHeight="1">
      <c r="A255" s="21" t="s">
        <v>391</v>
      </c>
      <c r="B255" s="5" t="s">
        <v>1506</v>
      </c>
      <c r="C255" s="42" t="s">
        <v>7</v>
      </c>
      <c r="D255" s="59">
        <v>94728221</v>
      </c>
      <c r="E255" s="6">
        <v>45980</v>
      </c>
      <c r="F255" s="91">
        <f t="shared" si="21"/>
        <v>46356</v>
      </c>
      <c r="G255" s="80"/>
      <c r="H255" s="80"/>
      <c r="I255" s="16" t="s">
        <v>1580</v>
      </c>
      <c r="J255" s="16"/>
      <c r="K255" s="5" t="s">
        <v>6</v>
      </c>
      <c r="L255" s="10" t="str">
        <f t="shared" ca="1" si="18"/>
        <v>Calibrado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" hidden="1" customHeight="1">
      <c r="A256" s="21" t="s">
        <v>390</v>
      </c>
      <c r="B256" s="5" t="s">
        <v>1506</v>
      </c>
      <c r="C256" s="42" t="s">
        <v>7</v>
      </c>
      <c r="D256" s="59">
        <v>94728222</v>
      </c>
      <c r="E256" s="6">
        <v>45980</v>
      </c>
      <c r="F256" s="91">
        <f t="shared" si="21"/>
        <v>46356</v>
      </c>
      <c r="G256" s="80"/>
      <c r="H256" s="80"/>
      <c r="I256" s="16" t="s">
        <v>1581</v>
      </c>
      <c r="J256" s="16"/>
      <c r="K256" s="5" t="s">
        <v>6</v>
      </c>
      <c r="L256" s="10" t="str">
        <f t="shared" ca="1" si="18"/>
        <v>Calibrado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" hidden="1" customHeight="1">
      <c r="A257" s="21" t="s">
        <v>389</v>
      </c>
      <c r="B257" s="5" t="s">
        <v>1506</v>
      </c>
      <c r="C257" s="42" t="s">
        <v>7</v>
      </c>
      <c r="D257" s="59">
        <v>25194215</v>
      </c>
      <c r="E257" s="6">
        <v>46109</v>
      </c>
      <c r="F257" s="91">
        <f t="shared" si="21"/>
        <v>46477</v>
      </c>
      <c r="G257" s="80" t="s">
        <v>2063</v>
      </c>
      <c r="H257" s="80"/>
      <c r="I257" s="16" t="s">
        <v>1132</v>
      </c>
      <c r="J257" s="16" t="s">
        <v>1853</v>
      </c>
      <c r="K257" s="5" t="s">
        <v>6</v>
      </c>
      <c r="L257" s="10" t="str">
        <f t="shared" ca="1" si="18"/>
        <v>Calibrado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" hidden="1" customHeight="1">
      <c r="A258" s="20" t="s">
        <v>746</v>
      </c>
      <c r="B258" s="5" t="s">
        <v>1506</v>
      </c>
      <c r="C258" s="42" t="s">
        <v>7</v>
      </c>
      <c r="D258" s="9">
        <v>94762663</v>
      </c>
      <c r="E258" s="6">
        <v>46114</v>
      </c>
      <c r="F258" s="91">
        <f t="shared" si="21"/>
        <v>46507</v>
      </c>
      <c r="G258" s="78"/>
      <c r="H258" s="78"/>
      <c r="I258" s="16" t="s">
        <v>1148</v>
      </c>
      <c r="J258" s="16" t="s">
        <v>1868</v>
      </c>
      <c r="K258" s="4" t="s">
        <v>6</v>
      </c>
      <c r="L258" s="10" t="str">
        <f t="shared" ca="1" si="18"/>
        <v>Calibrado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" hidden="1" customHeight="1">
      <c r="A259" s="21" t="s">
        <v>388</v>
      </c>
      <c r="B259" s="5" t="s">
        <v>1506</v>
      </c>
      <c r="C259" s="42" t="s">
        <v>7</v>
      </c>
      <c r="D259" s="59">
        <v>94763868</v>
      </c>
      <c r="E259" s="6">
        <v>46169</v>
      </c>
      <c r="F259" s="91">
        <f t="shared" ref="F259:F280" si="22">EOMONTH(E259,12)</f>
        <v>46538</v>
      </c>
      <c r="G259" s="80"/>
      <c r="H259" s="80"/>
      <c r="I259" s="16" t="s">
        <v>1237</v>
      </c>
      <c r="J259" s="16" t="s">
        <v>1976</v>
      </c>
      <c r="K259" s="5" t="s">
        <v>6</v>
      </c>
      <c r="L259" s="10" t="str">
        <f t="shared" ref="L259:L322" ca="1" si="23">IF(K259="TERCEIRO","TERCEIRO",IF(K259="EM MODIF.","EM MODIF.",IF(K259="INATIVO","INATIVO",IF($E259="","Desenvolvimento",IF($F259&lt;$M$1,"Atrasado","Calibrado")))))</f>
        <v>Calibrado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" hidden="1" customHeight="1">
      <c r="A260" s="21" t="s">
        <v>387</v>
      </c>
      <c r="B260" s="5" t="s">
        <v>1506</v>
      </c>
      <c r="C260" s="23" t="s">
        <v>39</v>
      </c>
      <c r="D260" s="59" t="s">
        <v>37</v>
      </c>
      <c r="E260" s="6">
        <v>46210</v>
      </c>
      <c r="F260" s="91">
        <f t="shared" si="22"/>
        <v>46599</v>
      </c>
      <c r="G260" s="80" t="s">
        <v>2062</v>
      </c>
      <c r="H260" s="80" t="s">
        <v>2068</v>
      </c>
      <c r="I260" s="16" t="s">
        <v>1341</v>
      </c>
      <c r="J260" s="16" t="s">
        <v>2071</v>
      </c>
      <c r="K260" s="5" t="s">
        <v>6</v>
      </c>
      <c r="L260" s="10" t="str">
        <f t="shared" ca="1" si="23"/>
        <v>Calibrado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" hidden="1" customHeight="1">
      <c r="A261" s="21" t="s">
        <v>386</v>
      </c>
      <c r="B261" s="5" t="s">
        <v>1506</v>
      </c>
      <c r="C261" s="23" t="s">
        <v>39</v>
      </c>
      <c r="D261" s="59" t="s">
        <v>38</v>
      </c>
      <c r="E261" s="6">
        <v>46210</v>
      </c>
      <c r="F261" s="91">
        <f t="shared" si="22"/>
        <v>46599</v>
      </c>
      <c r="G261" s="80" t="s">
        <v>2062</v>
      </c>
      <c r="H261" s="80" t="s">
        <v>2068</v>
      </c>
      <c r="I261" s="16" t="s">
        <v>1342</v>
      </c>
      <c r="J261" s="16" t="s">
        <v>2072</v>
      </c>
      <c r="K261" s="5" t="s">
        <v>6</v>
      </c>
      <c r="L261" s="10" t="str">
        <f t="shared" ca="1" si="23"/>
        <v>Calibrado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" hidden="1" customHeight="1">
      <c r="A262" s="20" t="s">
        <v>128</v>
      </c>
      <c r="B262" s="5" t="s">
        <v>1506</v>
      </c>
      <c r="C262" s="42" t="s">
        <v>7</v>
      </c>
      <c r="D262" s="9">
        <v>26254835</v>
      </c>
      <c r="E262" s="6">
        <v>46174</v>
      </c>
      <c r="F262" s="91">
        <f t="shared" si="22"/>
        <v>46568</v>
      </c>
      <c r="G262" s="80" t="s">
        <v>2062</v>
      </c>
      <c r="H262" s="80"/>
      <c r="I262" s="16" t="s">
        <v>1288</v>
      </c>
      <c r="J262" s="16" t="s">
        <v>1987</v>
      </c>
      <c r="K262" s="5" t="s">
        <v>6</v>
      </c>
      <c r="L262" s="10" t="str">
        <f t="shared" ca="1" si="23"/>
        <v>Calibrado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" hidden="1" customHeight="1">
      <c r="A263" s="21" t="s">
        <v>384</v>
      </c>
      <c r="B263" s="5" t="s">
        <v>1506</v>
      </c>
      <c r="C263" s="5" t="s">
        <v>65</v>
      </c>
      <c r="D263" s="59">
        <v>52062987</v>
      </c>
      <c r="E263" s="6">
        <v>45988</v>
      </c>
      <c r="F263" s="91">
        <f t="shared" si="22"/>
        <v>46356</v>
      </c>
      <c r="G263" s="80"/>
      <c r="H263" s="80"/>
      <c r="I263" s="16" t="s">
        <v>1593</v>
      </c>
      <c r="J263" s="16"/>
      <c r="K263" s="5" t="s">
        <v>6</v>
      </c>
      <c r="L263" s="12" t="str">
        <f t="shared" ca="1" si="23"/>
        <v>Calibrado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" hidden="1" customHeight="1">
      <c r="A264" s="21" t="s">
        <v>383</v>
      </c>
      <c r="B264" s="5" t="s">
        <v>1506</v>
      </c>
      <c r="C264" s="42" t="s">
        <v>7</v>
      </c>
      <c r="D264" s="59">
        <v>26228096</v>
      </c>
      <c r="E264" s="6">
        <v>45918</v>
      </c>
      <c r="F264" s="91">
        <f t="shared" si="22"/>
        <v>46295</v>
      </c>
      <c r="G264" s="80" t="s">
        <v>2063</v>
      </c>
      <c r="H264" s="80"/>
      <c r="I264" s="16" t="s">
        <v>1468</v>
      </c>
      <c r="J264" s="16"/>
      <c r="K264" s="5" t="s">
        <v>6</v>
      </c>
      <c r="L264" s="10" t="str">
        <f t="shared" ca="1" si="23"/>
        <v>Calibrado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" hidden="1" customHeight="1">
      <c r="A265" s="21" t="s">
        <v>382</v>
      </c>
      <c r="B265" s="5" t="s">
        <v>1506</v>
      </c>
      <c r="C265" s="42" t="s">
        <v>7</v>
      </c>
      <c r="D265" s="59">
        <v>26288026</v>
      </c>
      <c r="E265" s="6">
        <v>45981</v>
      </c>
      <c r="F265" s="91">
        <f t="shared" si="22"/>
        <v>46356</v>
      </c>
      <c r="G265" s="80"/>
      <c r="H265" s="80"/>
      <c r="I265" s="16" t="s">
        <v>1582</v>
      </c>
      <c r="J265" s="16"/>
      <c r="K265" s="5" t="s">
        <v>6</v>
      </c>
      <c r="L265" s="10" t="str">
        <f t="shared" ca="1" si="23"/>
        <v>Calibrado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" hidden="1" customHeight="1">
      <c r="A266" s="21" t="s">
        <v>381</v>
      </c>
      <c r="B266" s="5" t="s">
        <v>1506</v>
      </c>
      <c r="C266" s="42" t="s">
        <v>7</v>
      </c>
      <c r="D266" s="59" t="s">
        <v>747</v>
      </c>
      <c r="E266" s="6">
        <v>45981</v>
      </c>
      <c r="F266" s="91">
        <f t="shared" si="22"/>
        <v>46356</v>
      </c>
      <c r="G266" s="80"/>
      <c r="H266" s="80"/>
      <c r="I266" s="16" t="s">
        <v>1583</v>
      </c>
      <c r="J266" s="16"/>
      <c r="K266" s="5" t="s">
        <v>6</v>
      </c>
      <c r="L266" s="10" t="str">
        <f t="shared" ca="1" si="23"/>
        <v>Calibrado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" hidden="1" customHeight="1">
      <c r="A267" s="21" t="s">
        <v>380</v>
      </c>
      <c r="B267" s="5" t="s">
        <v>1506</v>
      </c>
      <c r="C267" s="42" t="s">
        <v>7</v>
      </c>
      <c r="D267" s="59" t="s">
        <v>748</v>
      </c>
      <c r="E267" s="6">
        <v>45981</v>
      </c>
      <c r="F267" s="91">
        <f t="shared" si="22"/>
        <v>46356</v>
      </c>
      <c r="G267" s="80"/>
      <c r="H267" s="80"/>
      <c r="I267" s="16" t="s">
        <v>1584</v>
      </c>
      <c r="J267" s="16"/>
      <c r="K267" s="5" t="s">
        <v>6</v>
      </c>
      <c r="L267" s="10" t="str">
        <f t="shared" ca="1" si="23"/>
        <v>Calibrado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" hidden="1" customHeight="1">
      <c r="A268" s="21" t="s">
        <v>379</v>
      </c>
      <c r="B268" s="5" t="s">
        <v>1506</v>
      </c>
      <c r="C268" s="42" t="s">
        <v>7</v>
      </c>
      <c r="D268" s="59" t="s">
        <v>749</v>
      </c>
      <c r="E268" s="6">
        <v>46244</v>
      </c>
      <c r="F268" s="91">
        <f t="shared" si="22"/>
        <v>46630</v>
      </c>
      <c r="G268" s="80"/>
      <c r="H268" s="80" t="s">
        <v>2066</v>
      </c>
      <c r="I268" s="16" t="s">
        <v>1428</v>
      </c>
      <c r="J268" s="16" t="s">
        <v>2185</v>
      </c>
      <c r="K268" s="5" t="s">
        <v>6</v>
      </c>
      <c r="L268" s="10" t="str">
        <f t="shared" ca="1" si="23"/>
        <v>Calibrado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" hidden="1" customHeight="1">
      <c r="A269" s="21" t="s">
        <v>378</v>
      </c>
      <c r="B269" s="5" t="s">
        <v>1506</v>
      </c>
      <c r="C269" s="42" t="s">
        <v>7</v>
      </c>
      <c r="D269" s="59" t="s">
        <v>750</v>
      </c>
      <c r="E269" s="6">
        <v>46245</v>
      </c>
      <c r="F269" s="91">
        <f t="shared" si="22"/>
        <v>46630</v>
      </c>
      <c r="G269" s="80"/>
      <c r="H269" s="80" t="s">
        <v>2066</v>
      </c>
      <c r="I269" s="16" t="s">
        <v>1429</v>
      </c>
      <c r="J269" s="16" t="s">
        <v>2186</v>
      </c>
      <c r="K269" s="5" t="s">
        <v>6</v>
      </c>
      <c r="L269" s="10" t="str">
        <f t="shared" ca="1" si="23"/>
        <v>Calibrado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" hidden="1" customHeight="1">
      <c r="A270" s="21" t="s">
        <v>377</v>
      </c>
      <c r="B270" s="5" t="s">
        <v>1506</v>
      </c>
      <c r="C270" s="42" t="s">
        <v>7</v>
      </c>
      <c r="D270" s="59" t="s">
        <v>751</v>
      </c>
      <c r="E270" s="6">
        <v>46078</v>
      </c>
      <c r="F270" s="91">
        <f t="shared" si="22"/>
        <v>46446</v>
      </c>
      <c r="G270" s="80" t="s">
        <v>2063</v>
      </c>
      <c r="H270" s="78" t="s">
        <v>2066</v>
      </c>
      <c r="I270" s="16" t="s">
        <v>1092</v>
      </c>
      <c r="J270" s="16" t="s">
        <v>1795</v>
      </c>
      <c r="K270" s="5" t="s">
        <v>6</v>
      </c>
      <c r="L270" s="10" t="str">
        <f t="shared" ca="1" si="23"/>
        <v>Calibrado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" hidden="1" customHeight="1">
      <c r="A271" s="21" t="s">
        <v>376</v>
      </c>
      <c r="B271" s="5" t="s">
        <v>1506</v>
      </c>
      <c r="C271" s="42" t="s">
        <v>7</v>
      </c>
      <c r="D271" s="59">
        <v>26260406</v>
      </c>
      <c r="E271" s="6">
        <v>46111</v>
      </c>
      <c r="F271" s="91">
        <f t="shared" si="22"/>
        <v>46477</v>
      </c>
      <c r="G271" s="80" t="s">
        <v>2062</v>
      </c>
      <c r="H271" s="80"/>
      <c r="I271" s="16" t="s">
        <v>1133</v>
      </c>
      <c r="J271" s="16" t="s">
        <v>1854</v>
      </c>
      <c r="K271" s="5" t="s">
        <v>6</v>
      </c>
      <c r="L271" s="15" t="str">
        <f t="shared" ca="1" si="23"/>
        <v>Calibrado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" hidden="1" customHeight="1">
      <c r="A272" s="21" t="s">
        <v>375</v>
      </c>
      <c r="B272" s="5" t="s">
        <v>1506</v>
      </c>
      <c r="C272" s="42" t="s">
        <v>7</v>
      </c>
      <c r="D272" s="59">
        <v>26260407</v>
      </c>
      <c r="E272" s="6">
        <v>46111</v>
      </c>
      <c r="F272" s="91">
        <f t="shared" si="22"/>
        <v>46477</v>
      </c>
      <c r="G272" s="80" t="s">
        <v>2062</v>
      </c>
      <c r="H272" s="80"/>
      <c r="I272" s="16" t="s">
        <v>1134</v>
      </c>
      <c r="J272" s="16" t="s">
        <v>1855</v>
      </c>
      <c r="K272" s="5" t="s">
        <v>6</v>
      </c>
      <c r="L272" s="15" t="str">
        <f t="shared" ca="1" si="23"/>
        <v>Calibrado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" hidden="1" customHeight="1">
      <c r="A273" s="21" t="s">
        <v>374</v>
      </c>
      <c r="B273" s="5" t="s">
        <v>1506</v>
      </c>
      <c r="C273" s="42" t="s">
        <v>7</v>
      </c>
      <c r="D273" s="59" t="s">
        <v>931</v>
      </c>
      <c r="E273" s="6">
        <v>46169</v>
      </c>
      <c r="F273" s="91">
        <f t="shared" si="22"/>
        <v>46538</v>
      </c>
      <c r="G273" s="80"/>
      <c r="H273" s="80"/>
      <c r="I273" s="16" t="s">
        <v>1238</v>
      </c>
      <c r="J273" s="16" t="s">
        <v>1977</v>
      </c>
      <c r="K273" s="5" t="s">
        <v>6</v>
      </c>
      <c r="L273" s="10" t="str">
        <f t="shared" ca="1" si="23"/>
        <v>Calibrado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" hidden="1" customHeight="1">
      <c r="A274" s="20" t="s">
        <v>124</v>
      </c>
      <c r="B274" s="5" t="s">
        <v>1506</v>
      </c>
      <c r="C274" s="34" t="s">
        <v>633</v>
      </c>
      <c r="D274" s="9" t="s">
        <v>569</v>
      </c>
      <c r="E274" s="6">
        <v>46084</v>
      </c>
      <c r="F274" s="91">
        <f t="shared" si="22"/>
        <v>46477</v>
      </c>
      <c r="G274" s="80" t="s">
        <v>2062</v>
      </c>
      <c r="H274" s="80"/>
      <c r="I274" s="16" t="s">
        <v>1098</v>
      </c>
      <c r="J274" s="16" t="s">
        <v>1808</v>
      </c>
      <c r="K274" s="5" t="s">
        <v>6</v>
      </c>
      <c r="L274" s="10" t="str">
        <f t="shared" ca="1" si="23"/>
        <v>Calibrado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" hidden="1" customHeight="1">
      <c r="A275" s="20" t="s">
        <v>127</v>
      </c>
      <c r="B275" s="5" t="s">
        <v>1506</v>
      </c>
      <c r="C275" s="30" t="s">
        <v>35</v>
      </c>
      <c r="D275" s="9" t="s">
        <v>570</v>
      </c>
      <c r="E275" s="6">
        <v>46240</v>
      </c>
      <c r="F275" s="91">
        <f t="shared" si="22"/>
        <v>46630</v>
      </c>
      <c r="G275" s="80"/>
      <c r="H275" s="80" t="s">
        <v>2066</v>
      </c>
      <c r="I275" s="16" t="s">
        <v>1382</v>
      </c>
      <c r="J275" s="16" t="s">
        <v>2177</v>
      </c>
      <c r="K275" s="5" t="s">
        <v>6</v>
      </c>
      <c r="L275" s="10" t="str">
        <f t="shared" ca="1" si="23"/>
        <v>Calibrado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" hidden="1" customHeight="1">
      <c r="A276" s="21" t="s">
        <v>372</v>
      </c>
      <c r="B276" s="5" t="s">
        <v>1505</v>
      </c>
      <c r="C276" s="42" t="s">
        <v>7</v>
      </c>
      <c r="D276" s="59" t="s">
        <v>932</v>
      </c>
      <c r="E276" s="6">
        <v>46174</v>
      </c>
      <c r="F276" s="91">
        <f t="shared" si="22"/>
        <v>46568</v>
      </c>
      <c r="G276" s="80" t="s">
        <v>2063</v>
      </c>
      <c r="H276" s="80"/>
      <c r="I276" s="16" t="s">
        <v>1285</v>
      </c>
      <c r="J276" s="16" t="s">
        <v>1988</v>
      </c>
      <c r="K276" s="5" t="s">
        <v>6</v>
      </c>
      <c r="L276" s="10" t="str">
        <f t="shared" ca="1" si="23"/>
        <v>Calibrado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" hidden="1" customHeight="1">
      <c r="A277" s="21" t="s">
        <v>371</v>
      </c>
      <c r="B277" s="5" t="s">
        <v>1505</v>
      </c>
      <c r="C277" s="42" t="s">
        <v>7</v>
      </c>
      <c r="D277" s="59" t="s">
        <v>933</v>
      </c>
      <c r="E277" s="6">
        <v>46175</v>
      </c>
      <c r="F277" s="91">
        <f t="shared" si="22"/>
        <v>46568</v>
      </c>
      <c r="G277" s="80" t="s">
        <v>2063</v>
      </c>
      <c r="H277" s="80"/>
      <c r="I277" s="16" t="s">
        <v>1286</v>
      </c>
      <c r="J277" s="16" t="s">
        <v>1989</v>
      </c>
      <c r="K277" s="5" t="s">
        <v>6</v>
      </c>
      <c r="L277" s="10" t="str">
        <f t="shared" ca="1" si="23"/>
        <v>Calibrado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" hidden="1" customHeight="1">
      <c r="A278" s="21" t="s">
        <v>370</v>
      </c>
      <c r="B278" s="5" t="s">
        <v>1505</v>
      </c>
      <c r="C278" s="42" t="s">
        <v>7</v>
      </c>
      <c r="D278" s="59" t="s">
        <v>962</v>
      </c>
      <c r="E278" s="6">
        <v>46205</v>
      </c>
      <c r="F278" s="91">
        <f t="shared" si="22"/>
        <v>46599</v>
      </c>
      <c r="G278" s="80" t="s">
        <v>2063</v>
      </c>
      <c r="H278" s="80" t="s">
        <v>2068</v>
      </c>
      <c r="I278" s="16" t="s">
        <v>1333</v>
      </c>
      <c r="J278" s="16" t="s">
        <v>2056</v>
      </c>
      <c r="K278" s="5" t="s">
        <v>6</v>
      </c>
      <c r="L278" s="10" t="str">
        <f t="shared" ca="1" si="23"/>
        <v>Calibrado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" hidden="1" customHeight="1">
      <c r="A279" s="21" t="s">
        <v>362</v>
      </c>
      <c r="B279" s="5" t="s">
        <v>1505</v>
      </c>
      <c r="C279" s="42" t="s">
        <v>7</v>
      </c>
      <c r="D279" s="59" t="s">
        <v>963</v>
      </c>
      <c r="E279" s="6">
        <v>46205</v>
      </c>
      <c r="F279" s="91">
        <f t="shared" si="22"/>
        <v>46599</v>
      </c>
      <c r="G279" s="80" t="s">
        <v>2063</v>
      </c>
      <c r="H279" s="80" t="s">
        <v>2068</v>
      </c>
      <c r="I279" s="16" t="s">
        <v>1334</v>
      </c>
      <c r="J279" s="16" t="s">
        <v>2057</v>
      </c>
      <c r="K279" s="5" t="s">
        <v>6</v>
      </c>
      <c r="L279" s="10" t="str">
        <f t="shared" ca="1" si="23"/>
        <v>Calibrado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" hidden="1" customHeight="1">
      <c r="A280" s="20" t="s">
        <v>571</v>
      </c>
      <c r="B280" s="5" t="s">
        <v>1506</v>
      </c>
      <c r="C280" s="30" t="s">
        <v>35</v>
      </c>
      <c r="D280" s="9" t="s">
        <v>572</v>
      </c>
      <c r="E280" s="6">
        <v>46113</v>
      </c>
      <c r="F280" s="91">
        <f t="shared" si="22"/>
        <v>46507</v>
      </c>
      <c r="G280" s="78"/>
      <c r="H280" s="78"/>
      <c r="I280" s="16" t="s">
        <v>1156</v>
      </c>
      <c r="J280" s="16" t="s">
        <v>1858</v>
      </c>
      <c r="K280" s="5" t="s">
        <v>6</v>
      </c>
      <c r="L280" s="10" t="str">
        <f t="shared" ca="1" si="23"/>
        <v>Calibrado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" hidden="1" customHeight="1">
      <c r="A281" s="21" t="s">
        <v>290</v>
      </c>
      <c r="B281" s="5" t="s">
        <v>1506</v>
      </c>
      <c r="C281" s="31" t="s">
        <v>34</v>
      </c>
      <c r="D281" s="9" t="s">
        <v>40</v>
      </c>
      <c r="E281" s="6">
        <v>45944</v>
      </c>
      <c r="F281" s="91">
        <f t="shared" ref="F281:F287" si="24">EOMONTH(E281,12)</f>
        <v>46326</v>
      </c>
      <c r="G281" s="80" t="s">
        <v>2062</v>
      </c>
      <c r="H281" s="80"/>
      <c r="I281" s="16" t="s">
        <v>1513</v>
      </c>
      <c r="J281" s="16"/>
      <c r="K281" s="5" t="s">
        <v>6</v>
      </c>
      <c r="L281" s="10" t="str">
        <f t="shared" ca="1" si="23"/>
        <v>Calibrado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" hidden="1" customHeight="1">
      <c r="A282" s="21" t="s">
        <v>299</v>
      </c>
      <c r="B282" s="5" t="s">
        <v>1506</v>
      </c>
      <c r="C282" s="25" t="s">
        <v>56</v>
      </c>
      <c r="D282" s="9" t="s">
        <v>70</v>
      </c>
      <c r="E282" s="6">
        <v>46085</v>
      </c>
      <c r="F282" s="91">
        <f t="shared" si="24"/>
        <v>46477</v>
      </c>
      <c r="G282" s="80" t="s">
        <v>2063</v>
      </c>
      <c r="H282" s="80"/>
      <c r="I282" s="16" t="s">
        <v>1097</v>
      </c>
      <c r="J282" s="16" t="s">
        <v>1809</v>
      </c>
      <c r="K282" s="5" t="s">
        <v>6</v>
      </c>
      <c r="L282" s="10" t="str">
        <f t="shared" ca="1" si="23"/>
        <v>Calibrado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" hidden="1" customHeight="1">
      <c r="A283" s="21" t="s">
        <v>573</v>
      </c>
      <c r="B283" s="5" t="s">
        <v>1506</v>
      </c>
      <c r="C283" s="25" t="s">
        <v>56</v>
      </c>
      <c r="D283" s="9" t="s">
        <v>1216</v>
      </c>
      <c r="E283" s="6">
        <v>46148</v>
      </c>
      <c r="F283" s="91">
        <f t="shared" si="24"/>
        <v>46538</v>
      </c>
      <c r="G283" s="80"/>
      <c r="H283" s="80"/>
      <c r="I283" s="16" t="s">
        <v>1214</v>
      </c>
      <c r="J283" s="16" t="s">
        <v>1923</v>
      </c>
      <c r="K283" s="5" t="s">
        <v>6</v>
      </c>
      <c r="L283" s="10" t="str">
        <f t="shared" ca="1" si="23"/>
        <v>Calibrado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" hidden="1" customHeight="1">
      <c r="A284" s="21" t="s">
        <v>302</v>
      </c>
      <c r="B284" s="5" t="s">
        <v>1506</v>
      </c>
      <c r="C284" s="25" t="s">
        <v>56</v>
      </c>
      <c r="D284" s="9" t="s">
        <v>574</v>
      </c>
      <c r="E284" s="6">
        <v>46113</v>
      </c>
      <c r="F284" s="91">
        <f t="shared" si="24"/>
        <v>46507</v>
      </c>
      <c r="G284" s="80"/>
      <c r="H284" s="80"/>
      <c r="I284" s="16" t="s">
        <v>1149</v>
      </c>
      <c r="J284" s="16" t="s">
        <v>1859</v>
      </c>
      <c r="K284" s="5" t="s">
        <v>6</v>
      </c>
      <c r="L284" s="10" t="str">
        <f t="shared" ca="1" si="23"/>
        <v>Calibrado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" hidden="1" customHeight="1">
      <c r="A285" s="21" t="s">
        <v>301</v>
      </c>
      <c r="B285" s="5" t="s">
        <v>1506</v>
      </c>
      <c r="C285" s="25" t="s">
        <v>56</v>
      </c>
      <c r="D285" s="9" t="s">
        <v>1215</v>
      </c>
      <c r="E285" s="6">
        <v>46148</v>
      </c>
      <c r="F285" s="91">
        <f t="shared" si="24"/>
        <v>46538</v>
      </c>
      <c r="G285" s="80"/>
      <c r="H285" s="80"/>
      <c r="I285" s="16" t="s">
        <v>1218</v>
      </c>
      <c r="J285" s="16" t="s">
        <v>1924</v>
      </c>
      <c r="K285" s="5" t="s">
        <v>6</v>
      </c>
      <c r="L285" s="10" t="str">
        <f t="shared" ca="1" si="23"/>
        <v>Calibrado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" hidden="1" customHeight="1">
      <c r="A286" s="21" t="s">
        <v>303</v>
      </c>
      <c r="B286" s="5" t="s">
        <v>1506</v>
      </c>
      <c r="C286" s="25" t="s">
        <v>56</v>
      </c>
      <c r="D286" s="9" t="s">
        <v>1217</v>
      </c>
      <c r="E286" s="6">
        <v>46148</v>
      </c>
      <c r="F286" s="91">
        <f t="shared" si="24"/>
        <v>46538</v>
      </c>
      <c r="G286" s="80"/>
      <c r="H286" s="80"/>
      <c r="I286" s="16" t="s">
        <v>1219</v>
      </c>
      <c r="J286" s="16" t="s">
        <v>1925</v>
      </c>
      <c r="K286" s="5" t="s">
        <v>6</v>
      </c>
      <c r="L286" s="10" t="str">
        <f t="shared" ca="1" si="23"/>
        <v>Calibrado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" hidden="1" customHeight="1">
      <c r="A287" s="21" t="s">
        <v>575</v>
      </c>
      <c r="B287" s="5" t="s">
        <v>1506</v>
      </c>
      <c r="C287" s="25" t="s">
        <v>56</v>
      </c>
      <c r="D287" s="9" t="s">
        <v>576</v>
      </c>
      <c r="E287" s="6">
        <v>45905</v>
      </c>
      <c r="F287" s="91">
        <f t="shared" si="24"/>
        <v>46295</v>
      </c>
      <c r="G287" s="80" t="s">
        <v>2062</v>
      </c>
      <c r="H287" s="80"/>
      <c r="I287" s="16" t="s">
        <v>1446</v>
      </c>
      <c r="J287" s="16"/>
      <c r="K287" s="4" t="s">
        <v>6</v>
      </c>
      <c r="L287" s="10" t="str">
        <f t="shared" ca="1" si="23"/>
        <v>Calibrado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" hidden="1" customHeight="1">
      <c r="A288" s="21" t="s">
        <v>289</v>
      </c>
      <c r="B288" s="5" t="s">
        <v>1506</v>
      </c>
      <c r="C288" s="31" t="s">
        <v>34</v>
      </c>
      <c r="D288" s="9" t="s">
        <v>577</v>
      </c>
      <c r="E288" s="6">
        <v>45965</v>
      </c>
      <c r="F288" s="91">
        <f t="shared" ref="F288:F294" si="25">EOMONTH(E288,12)</f>
        <v>46356</v>
      </c>
      <c r="G288" s="80"/>
      <c r="H288" s="80"/>
      <c r="I288" s="16" t="s">
        <v>1559</v>
      </c>
      <c r="J288" s="16"/>
      <c r="K288" s="5" t="s">
        <v>6</v>
      </c>
      <c r="L288" s="10" t="str">
        <f t="shared" ca="1" si="23"/>
        <v>Calibrado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" hidden="1" customHeight="1">
      <c r="A289" s="21" t="s">
        <v>288</v>
      </c>
      <c r="B289" s="5" t="s">
        <v>1506</v>
      </c>
      <c r="C289" s="31" t="s">
        <v>34</v>
      </c>
      <c r="D289" s="9" t="s">
        <v>578</v>
      </c>
      <c r="E289" s="6">
        <v>45944</v>
      </c>
      <c r="F289" s="91">
        <f t="shared" si="25"/>
        <v>46326</v>
      </c>
      <c r="G289" s="80" t="s">
        <v>2063</v>
      </c>
      <c r="H289" s="80"/>
      <c r="I289" s="16" t="s">
        <v>1514</v>
      </c>
      <c r="J289" s="16"/>
      <c r="K289" s="5" t="s">
        <v>6</v>
      </c>
      <c r="L289" s="10" t="str">
        <f t="shared" ca="1" si="23"/>
        <v>Calibrado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" hidden="1" customHeight="1">
      <c r="A290" s="21" t="s">
        <v>287</v>
      </c>
      <c r="B290" s="5" t="s">
        <v>1506</v>
      </c>
      <c r="C290" s="31" t="s">
        <v>34</v>
      </c>
      <c r="D290" s="9" t="s">
        <v>41</v>
      </c>
      <c r="E290" s="6">
        <v>45912</v>
      </c>
      <c r="F290" s="91">
        <f t="shared" si="25"/>
        <v>46295</v>
      </c>
      <c r="G290" s="80" t="s">
        <v>2062</v>
      </c>
      <c r="H290" s="80"/>
      <c r="I290" s="60" t="s">
        <v>1460</v>
      </c>
      <c r="J290" s="60"/>
      <c r="K290" s="5" t="s">
        <v>6</v>
      </c>
      <c r="L290" s="10" t="str">
        <f t="shared" ca="1" si="23"/>
        <v>Calibrado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" hidden="1" customHeight="1">
      <c r="A291" s="21" t="s">
        <v>286</v>
      </c>
      <c r="B291" s="5" t="s">
        <v>1506</v>
      </c>
      <c r="C291" s="31" t="s">
        <v>34</v>
      </c>
      <c r="D291" s="9" t="s">
        <v>42</v>
      </c>
      <c r="E291" s="6">
        <v>45965</v>
      </c>
      <c r="F291" s="91">
        <f t="shared" si="25"/>
        <v>46356</v>
      </c>
      <c r="G291" s="80"/>
      <c r="H291" s="80"/>
      <c r="I291" s="16" t="s">
        <v>1560</v>
      </c>
      <c r="J291" s="16"/>
      <c r="K291" s="5" t="s">
        <v>6</v>
      </c>
      <c r="L291" s="10" t="str">
        <f t="shared" ca="1" si="23"/>
        <v>Calibrado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" hidden="1" customHeight="1">
      <c r="A292" s="21" t="s">
        <v>285</v>
      </c>
      <c r="B292" s="5" t="s">
        <v>1506</v>
      </c>
      <c r="C292" s="31" t="s">
        <v>34</v>
      </c>
      <c r="D292" s="9" t="s">
        <v>43</v>
      </c>
      <c r="E292" s="6">
        <v>45994</v>
      </c>
      <c r="F292" s="91">
        <f t="shared" si="25"/>
        <v>46387</v>
      </c>
      <c r="G292" s="80"/>
      <c r="H292" s="80"/>
      <c r="I292" s="16" t="s">
        <v>1602</v>
      </c>
      <c r="J292" s="16"/>
      <c r="K292" s="5" t="s">
        <v>6</v>
      </c>
      <c r="L292" s="10" t="str">
        <f t="shared" ca="1" si="23"/>
        <v>Calibrado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" hidden="1" customHeight="1">
      <c r="A293" s="21" t="s">
        <v>284</v>
      </c>
      <c r="B293" s="5" t="s">
        <v>1506</v>
      </c>
      <c r="C293" s="31" t="s">
        <v>34</v>
      </c>
      <c r="D293" s="9" t="s">
        <v>44</v>
      </c>
      <c r="E293" s="6">
        <v>45994</v>
      </c>
      <c r="F293" s="91">
        <f t="shared" si="25"/>
        <v>46387</v>
      </c>
      <c r="G293" s="80"/>
      <c r="H293" s="80"/>
      <c r="I293" s="16" t="s">
        <v>1603</v>
      </c>
      <c r="J293" s="16"/>
      <c r="K293" s="5" t="s">
        <v>6</v>
      </c>
      <c r="L293" s="10" t="str">
        <f t="shared" ca="1" si="23"/>
        <v>Calibrado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" hidden="1" customHeight="1">
      <c r="A294" s="21" t="s">
        <v>752</v>
      </c>
      <c r="B294" s="5" t="s">
        <v>1506</v>
      </c>
      <c r="C294" s="5" t="s">
        <v>65</v>
      </c>
      <c r="D294" s="9">
        <v>519596270</v>
      </c>
      <c r="E294" s="6">
        <v>46120</v>
      </c>
      <c r="F294" s="91">
        <f t="shared" si="25"/>
        <v>46507</v>
      </c>
      <c r="G294" s="78"/>
      <c r="H294" s="78"/>
      <c r="I294" s="16" t="s">
        <v>1161</v>
      </c>
      <c r="J294" s="16" t="s">
        <v>1876</v>
      </c>
      <c r="K294" s="4" t="s">
        <v>6</v>
      </c>
      <c r="L294" s="10" t="str">
        <f t="shared" ca="1" si="23"/>
        <v>Calibrado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" hidden="1" customHeight="1">
      <c r="A295" s="21" t="s">
        <v>753</v>
      </c>
      <c r="B295" s="5" t="s">
        <v>1506</v>
      </c>
      <c r="C295" s="5" t="s">
        <v>65</v>
      </c>
      <c r="D295" s="9" t="s">
        <v>761</v>
      </c>
      <c r="E295" s="6">
        <v>46120</v>
      </c>
      <c r="F295" s="91">
        <f t="shared" ref="F295:F323" si="26">EOMONTH(E295,12)</f>
        <v>46507</v>
      </c>
      <c r="G295" s="78"/>
      <c r="H295" s="78"/>
      <c r="I295" s="16" t="s">
        <v>1162</v>
      </c>
      <c r="J295" s="16" t="s">
        <v>1877</v>
      </c>
      <c r="K295" s="4" t="s">
        <v>6</v>
      </c>
      <c r="L295" s="10" t="str">
        <f t="shared" ca="1" si="23"/>
        <v>Calibrado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" hidden="1" customHeight="1">
      <c r="A296" s="21" t="s">
        <v>754</v>
      </c>
      <c r="B296" s="5" t="s">
        <v>1506</v>
      </c>
      <c r="C296" s="5" t="s">
        <v>65</v>
      </c>
      <c r="D296" s="9">
        <v>552842330</v>
      </c>
      <c r="E296" s="6">
        <v>46121</v>
      </c>
      <c r="F296" s="91">
        <f t="shared" si="26"/>
        <v>46507</v>
      </c>
      <c r="G296" s="78"/>
      <c r="H296" s="78"/>
      <c r="I296" s="16" t="s">
        <v>1163</v>
      </c>
      <c r="J296" s="16" t="s">
        <v>1878</v>
      </c>
      <c r="K296" s="4" t="s">
        <v>6</v>
      </c>
      <c r="L296" s="10" t="str">
        <f t="shared" ca="1" si="23"/>
        <v>Calibrado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" hidden="1" customHeight="1">
      <c r="A297" s="21" t="s">
        <v>755</v>
      </c>
      <c r="B297" s="5" t="s">
        <v>1506</v>
      </c>
      <c r="C297" s="5" t="s">
        <v>65</v>
      </c>
      <c r="D297" s="9" t="s">
        <v>762</v>
      </c>
      <c r="E297" s="6">
        <v>46121</v>
      </c>
      <c r="F297" s="91">
        <f t="shared" si="26"/>
        <v>46507</v>
      </c>
      <c r="G297" s="78"/>
      <c r="H297" s="78"/>
      <c r="I297" s="16" t="s">
        <v>1164</v>
      </c>
      <c r="J297" s="16" t="s">
        <v>1879</v>
      </c>
      <c r="K297" s="4" t="s">
        <v>6</v>
      </c>
      <c r="L297" s="10" t="str">
        <f t="shared" ca="1" si="23"/>
        <v>Calibrado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" customHeight="1">
      <c r="A298" s="21" t="s">
        <v>756</v>
      </c>
      <c r="B298" s="5" t="s">
        <v>1506</v>
      </c>
      <c r="C298" s="5" t="s">
        <v>65</v>
      </c>
      <c r="D298" s="9" t="s">
        <v>2195</v>
      </c>
      <c r="E298" s="6">
        <v>46121</v>
      </c>
      <c r="F298" s="91">
        <f t="shared" si="26"/>
        <v>46507</v>
      </c>
      <c r="G298" s="78"/>
      <c r="H298" s="78"/>
      <c r="I298" s="16" t="s">
        <v>1165</v>
      </c>
      <c r="J298" s="16" t="s">
        <v>1880</v>
      </c>
      <c r="K298" s="4" t="s">
        <v>6</v>
      </c>
      <c r="L298" s="10" t="str">
        <f t="shared" ca="1" si="23"/>
        <v>Calibrado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" hidden="1" customHeight="1">
      <c r="A299" s="21" t="s">
        <v>757</v>
      </c>
      <c r="B299" s="5" t="s">
        <v>1506</v>
      </c>
      <c r="C299" s="5" t="s">
        <v>65</v>
      </c>
      <c r="D299" s="9">
        <v>55282509</v>
      </c>
      <c r="E299" s="6">
        <v>46161</v>
      </c>
      <c r="F299" s="91">
        <f t="shared" si="26"/>
        <v>46538</v>
      </c>
      <c r="G299" s="78"/>
      <c r="H299" s="78"/>
      <c r="I299" s="16" t="s">
        <v>1255</v>
      </c>
      <c r="J299" s="16" t="s">
        <v>1947</v>
      </c>
      <c r="K299" s="4" t="s">
        <v>6</v>
      </c>
      <c r="L299" s="10" t="str">
        <f t="shared" ca="1" si="23"/>
        <v>Calibrado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" hidden="1" customHeight="1">
      <c r="A300" s="21" t="s">
        <v>758</v>
      </c>
      <c r="B300" s="5" t="s">
        <v>1506</v>
      </c>
      <c r="C300" s="5" t="s">
        <v>65</v>
      </c>
      <c r="D300" s="9">
        <v>46348817</v>
      </c>
      <c r="E300" s="6">
        <v>46161</v>
      </c>
      <c r="F300" s="91">
        <f t="shared" si="26"/>
        <v>46538</v>
      </c>
      <c r="G300" s="78"/>
      <c r="H300" s="78"/>
      <c r="I300" s="16" t="s">
        <v>1256</v>
      </c>
      <c r="J300" s="16" t="s">
        <v>1948</v>
      </c>
      <c r="K300" s="4" t="s">
        <v>6</v>
      </c>
      <c r="L300" s="10" t="str">
        <f t="shared" ca="1" si="23"/>
        <v>Calibrado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" hidden="1" customHeight="1">
      <c r="A301" s="21" t="s">
        <v>759</v>
      </c>
      <c r="B301" s="5" t="s">
        <v>1506</v>
      </c>
      <c r="C301" s="5" t="s">
        <v>65</v>
      </c>
      <c r="D301" s="9">
        <v>463442980</v>
      </c>
      <c r="E301" s="6">
        <v>45989</v>
      </c>
      <c r="F301" s="91">
        <f t="shared" si="26"/>
        <v>46356</v>
      </c>
      <c r="G301" s="78"/>
      <c r="H301" s="78"/>
      <c r="I301" s="16" t="s">
        <v>1594</v>
      </c>
      <c r="J301" s="16"/>
      <c r="K301" s="4" t="s">
        <v>6</v>
      </c>
      <c r="L301" s="10" t="str">
        <f t="shared" ca="1" si="23"/>
        <v>Calibrado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" hidden="1" customHeight="1">
      <c r="A302" s="21" t="s">
        <v>760</v>
      </c>
      <c r="B302" s="5" t="s">
        <v>1506</v>
      </c>
      <c r="C302" s="5" t="s">
        <v>65</v>
      </c>
      <c r="D302" s="9">
        <v>463449650</v>
      </c>
      <c r="E302" s="6">
        <v>46161</v>
      </c>
      <c r="F302" s="91">
        <f t="shared" si="26"/>
        <v>46538</v>
      </c>
      <c r="G302" s="78"/>
      <c r="H302" s="78"/>
      <c r="I302" s="16" t="s">
        <v>1257</v>
      </c>
      <c r="J302" s="16" t="s">
        <v>1949</v>
      </c>
      <c r="K302" s="4" t="s">
        <v>6</v>
      </c>
      <c r="L302" s="10" t="str">
        <f t="shared" ca="1" si="23"/>
        <v>Calibrado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" hidden="1" customHeight="1">
      <c r="A303" s="21" t="s">
        <v>320</v>
      </c>
      <c r="B303" s="5" t="s">
        <v>1506</v>
      </c>
      <c r="C303" s="5" t="s">
        <v>65</v>
      </c>
      <c r="D303" s="9">
        <v>501580990</v>
      </c>
      <c r="E303" s="6">
        <v>45887</v>
      </c>
      <c r="F303" s="91">
        <f t="shared" si="26"/>
        <v>46265</v>
      </c>
      <c r="G303" s="80"/>
      <c r="H303" s="80"/>
      <c r="I303" s="16" t="s">
        <v>1410</v>
      </c>
      <c r="J303" s="16"/>
      <c r="K303" s="5" t="s">
        <v>6</v>
      </c>
      <c r="L303" s="10" t="str">
        <f t="shared" ca="1" si="23"/>
        <v>Calibrado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" hidden="1" customHeight="1">
      <c r="A304" s="21" t="s">
        <v>765</v>
      </c>
      <c r="B304" s="5" t="s">
        <v>1506</v>
      </c>
      <c r="C304" s="5" t="s">
        <v>65</v>
      </c>
      <c r="D304" s="9">
        <v>534840230</v>
      </c>
      <c r="E304" s="2">
        <v>46226</v>
      </c>
      <c r="F304" s="91">
        <f t="shared" si="26"/>
        <v>46599</v>
      </c>
      <c r="G304" s="78" t="s">
        <v>2063</v>
      </c>
      <c r="H304" s="78" t="s">
        <v>2068</v>
      </c>
      <c r="I304" s="16" t="s">
        <v>1372</v>
      </c>
      <c r="J304" s="16" t="s">
        <v>2115</v>
      </c>
      <c r="K304" s="4" t="s">
        <v>6</v>
      </c>
      <c r="L304" s="10" t="str">
        <f t="shared" ca="1" si="23"/>
        <v>Calibrado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" hidden="1" customHeight="1">
      <c r="A305" s="21" t="s">
        <v>321</v>
      </c>
      <c r="B305" s="5" t="s">
        <v>1506</v>
      </c>
      <c r="C305" s="5" t="s">
        <v>65</v>
      </c>
      <c r="D305" s="9">
        <v>534940590</v>
      </c>
      <c r="E305" s="6">
        <v>45887</v>
      </c>
      <c r="F305" s="91">
        <f t="shared" si="26"/>
        <v>46265</v>
      </c>
      <c r="G305" s="80"/>
      <c r="H305" s="80"/>
      <c r="I305" s="16" t="s">
        <v>1409</v>
      </c>
      <c r="J305" s="16"/>
      <c r="K305" s="5" t="s">
        <v>6</v>
      </c>
      <c r="L305" s="10" t="str">
        <f t="shared" ca="1" si="23"/>
        <v>Calibrado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" hidden="1" customHeight="1">
      <c r="A306" s="21" t="s">
        <v>764</v>
      </c>
      <c r="B306" s="5" t="s">
        <v>1506</v>
      </c>
      <c r="C306" s="5" t="s">
        <v>65</v>
      </c>
      <c r="D306" s="8" t="s">
        <v>763</v>
      </c>
      <c r="E306" s="6">
        <v>46007</v>
      </c>
      <c r="F306" s="91">
        <f t="shared" si="26"/>
        <v>46387</v>
      </c>
      <c r="G306" s="78"/>
      <c r="H306" s="78"/>
      <c r="I306" s="16" t="s">
        <v>1632</v>
      </c>
      <c r="J306" s="16"/>
      <c r="K306" s="4" t="s">
        <v>6</v>
      </c>
      <c r="L306" s="10" t="str">
        <f t="shared" ca="1" si="23"/>
        <v>Calibrado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" hidden="1" customHeight="1">
      <c r="A307" s="20" t="s">
        <v>118</v>
      </c>
      <c r="B307" s="5" t="s">
        <v>1506</v>
      </c>
      <c r="C307" s="5" t="s">
        <v>65</v>
      </c>
      <c r="D307" s="8" t="s">
        <v>770</v>
      </c>
      <c r="E307" s="6">
        <v>46007</v>
      </c>
      <c r="F307" s="91">
        <f t="shared" si="26"/>
        <v>46387</v>
      </c>
      <c r="G307" s="80"/>
      <c r="H307" s="80"/>
      <c r="I307" s="16" t="s">
        <v>1633</v>
      </c>
      <c r="J307" s="16"/>
      <c r="K307" s="5" t="s">
        <v>6</v>
      </c>
      <c r="L307" s="10" t="str">
        <f t="shared" ca="1" si="23"/>
        <v>Calibrado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" hidden="1" customHeight="1">
      <c r="A308" s="21" t="s">
        <v>766</v>
      </c>
      <c r="B308" s="5" t="s">
        <v>1506</v>
      </c>
      <c r="C308" s="5" t="s">
        <v>65</v>
      </c>
      <c r="D308" s="8" t="s">
        <v>768</v>
      </c>
      <c r="E308" s="6">
        <v>46008</v>
      </c>
      <c r="F308" s="91">
        <f t="shared" si="26"/>
        <v>46387</v>
      </c>
      <c r="G308" s="78"/>
      <c r="H308" s="78"/>
      <c r="I308" s="16" t="s">
        <v>1634</v>
      </c>
      <c r="J308" s="16"/>
      <c r="K308" s="4" t="s">
        <v>6</v>
      </c>
      <c r="L308" s="10" t="str">
        <f t="shared" ca="1" si="23"/>
        <v>Calibrado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" hidden="1" customHeight="1">
      <c r="A309" s="21" t="s">
        <v>767</v>
      </c>
      <c r="B309" s="5" t="s">
        <v>1506</v>
      </c>
      <c r="C309" s="5" t="s">
        <v>65</v>
      </c>
      <c r="D309" s="8" t="s">
        <v>769</v>
      </c>
      <c r="E309" s="6">
        <v>46008</v>
      </c>
      <c r="F309" s="91">
        <f t="shared" si="26"/>
        <v>46387</v>
      </c>
      <c r="G309" s="78"/>
      <c r="H309" s="78"/>
      <c r="I309" s="16" t="s">
        <v>1635</v>
      </c>
      <c r="J309" s="16"/>
      <c r="K309" s="4" t="s">
        <v>6</v>
      </c>
      <c r="L309" s="10" t="str">
        <f t="shared" ca="1" si="23"/>
        <v>Calibrado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" hidden="1" customHeight="1">
      <c r="A310" s="20" t="s">
        <v>247</v>
      </c>
      <c r="B310" s="5" t="s">
        <v>1506</v>
      </c>
      <c r="C310" s="5" t="s">
        <v>65</v>
      </c>
      <c r="D310" s="9">
        <v>534864530</v>
      </c>
      <c r="E310" s="6">
        <v>45954</v>
      </c>
      <c r="F310" s="91">
        <f t="shared" si="26"/>
        <v>46326</v>
      </c>
      <c r="G310" s="80" t="s">
        <v>2062</v>
      </c>
      <c r="H310" s="80"/>
      <c r="I310" s="16" t="s">
        <v>1534</v>
      </c>
      <c r="J310" s="16"/>
      <c r="K310" s="5" t="s">
        <v>6</v>
      </c>
      <c r="L310" s="10" t="str">
        <f t="shared" ca="1" si="23"/>
        <v>Calibrado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" hidden="1" customHeight="1">
      <c r="A311" s="20" t="s">
        <v>119</v>
      </c>
      <c r="B311" s="5" t="s">
        <v>1506</v>
      </c>
      <c r="C311" s="5" t="s">
        <v>65</v>
      </c>
      <c r="D311" s="9">
        <v>534840210</v>
      </c>
      <c r="E311" s="6">
        <v>46008</v>
      </c>
      <c r="F311" s="91">
        <f t="shared" si="26"/>
        <v>46387</v>
      </c>
      <c r="G311" s="80"/>
      <c r="H311" s="80"/>
      <c r="I311" s="16" t="s">
        <v>1636</v>
      </c>
      <c r="J311" s="16"/>
      <c r="K311" s="5" t="s">
        <v>6</v>
      </c>
      <c r="L311" s="10" t="str">
        <f t="shared" ca="1" si="23"/>
        <v>Calibrado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" hidden="1" customHeight="1">
      <c r="A312" s="20" t="s">
        <v>120</v>
      </c>
      <c r="B312" s="5" t="s">
        <v>1506</v>
      </c>
      <c r="C312" s="5" t="s">
        <v>65</v>
      </c>
      <c r="D312" s="9">
        <v>520807010</v>
      </c>
      <c r="E312" s="6">
        <v>45989</v>
      </c>
      <c r="F312" s="91">
        <f t="shared" si="26"/>
        <v>46356</v>
      </c>
      <c r="G312" s="80"/>
      <c r="H312" s="80"/>
      <c r="I312" s="16" t="s">
        <v>1595</v>
      </c>
      <c r="J312" s="16"/>
      <c r="K312" s="5" t="s">
        <v>6</v>
      </c>
      <c r="L312" s="10" t="str">
        <f t="shared" ca="1" si="23"/>
        <v>Calibrado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" hidden="1" customHeight="1">
      <c r="A313" s="21" t="s">
        <v>773</v>
      </c>
      <c r="B313" s="5" t="s">
        <v>1506</v>
      </c>
      <c r="C313" s="5" t="s">
        <v>65</v>
      </c>
      <c r="D313" s="9" t="s">
        <v>1130</v>
      </c>
      <c r="E313" s="6">
        <v>46122</v>
      </c>
      <c r="F313" s="91">
        <f t="shared" si="26"/>
        <v>46507</v>
      </c>
      <c r="G313" s="78"/>
      <c r="H313" s="78"/>
      <c r="I313" s="16" t="s">
        <v>1167</v>
      </c>
      <c r="J313" s="16" t="s">
        <v>1881</v>
      </c>
      <c r="K313" s="4" t="s">
        <v>6</v>
      </c>
      <c r="L313" s="10" t="str">
        <f t="shared" ca="1" si="23"/>
        <v>Calibrado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" hidden="1" customHeight="1">
      <c r="A314" s="21" t="s">
        <v>774</v>
      </c>
      <c r="B314" s="5" t="s">
        <v>1506</v>
      </c>
      <c r="C314" s="5" t="s">
        <v>65</v>
      </c>
      <c r="D314" s="9" t="s">
        <v>776</v>
      </c>
      <c r="E314" s="6">
        <v>45927</v>
      </c>
      <c r="F314" s="91">
        <f t="shared" si="26"/>
        <v>46295</v>
      </c>
      <c r="G314" s="80" t="s">
        <v>2063</v>
      </c>
      <c r="H314" s="80"/>
      <c r="I314" s="16" t="s">
        <v>1482</v>
      </c>
      <c r="J314" s="16"/>
      <c r="K314" s="4" t="s">
        <v>6</v>
      </c>
      <c r="L314" s="10" t="str">
        <f t="shared" ca="1" si="23"/>
        <v>Calibrado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" hidden="1" customHeight="1">
      <c r="A315" s="21" t="s">
        <v>775</v>
      </c>
      <c r="B315" s="5" t="s">
        <v>1506</v>
      </c>
      <c r="C315" s="5" t="s">
        <v>65</v>
      </c>
      <c r="D315" s="9" t="s">
        <v>777</v>
      </c>
      <c r="E315" s="6">
        <v>45927</v>
      </c>
      <c r="F315" s="91">
        <f t="shared" si="26"/>
        <v>46295</v>
      </c>
      <c r="G315" s="80" t="s">
        <v>2062</v>
      </c>
      <c r="H315" s="80"/>
      <c r="I315" s="16" t="s">
        <v>1483</v>
      </c>
      <c r="J315" s="16"/>
      <c r="K315" s="4" t="s">
        <v>6</v>
      </c>
      <c r="L315" s="10" t="str">
        <f t="shared" ca="1" si="23"/>
        <v>Calibrado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" hidden="1" customHeight="1">
      <c r="A316" s="21" t="s">
        <v>771</v>
      </c>
      <c r="B316" s="5" t="s">
        <v>1506</v>
      </c>
      <c r="C316" s="5" t="s">
        <v>65</v>
      </c>
      <c r="D316" s="9">
        <v>534901970</v>
      </c>
      <c r="E316" s="6">
        <v>45929</v>
      </c>
      <c r="F316" s="91">
        <f t="shared" si="26"/>
        <v>46295</v>
      </c>
      <c r="G316" s="80" t="s">
        <v>2062</v>
      </c>
      <c r="H316" s="80"/>
      <c r="I316" s="16" t="s">
        <v>1484</v>
      </c>
      <c r="J316" s="16"/>
      <c r="K316" s="4" t="s">
        <v>6</v>
      </c>
      <c r="L316" s="10" t="str">
        <f t="shared" ca="1" si="23"/>
        <v>Calibrado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" hidden="1" customHeight="1">
      <c r="A317" s="21" t="s">
        <v>772</v>
      </c>
      <c r="B317" s="5" t="s">
        <v>1506</v>
      </c>
      <c r="C317" s="5" t="s">
        <v>65</v>
      </c>
      <c r="D317" s="9">
        <v>534902300</v>
      </c>
      <c r="E317" s="6">
        <v>45929</v>
      </c>
      <c r="F317" s="91">
        <f t="shared" si="26"/>
        <v>46295</v>
      </c>
      <c r="G317" s="80" t="s">
        <v>2062</v>
      </c>
      <c r="H317" s="80"/>
      <c r="I317" s="16" t="s">
        <v>1485</v>
      </c>
      <c r="J317" s="16"/>
      <c r="K317" s="4" t="s">
        <v>6</v>
      </c>
      <c r="L317" s="10" t="str">
        <f t="shared" ca="1" si="23"/>
        <v>Calibrado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" hidden="1" customHeight="1">
      <c r="A318" s="21" t="s">
        <v>322</v>
      </c>
      <c r="B318" s="5" t="s">
        <v>1506</v>
      </c>
      <c r="C318" s="5" t="s">
        <v>65</v>
      </c>
      <c r="D318" s="9">
        <v>534979790</v>
      </c>
      <c r="E318" s="6">
        <v>46009</v>
      </c>
      <c r="F318" s="91">
        <f t="shared" si="26"/>
        <v>46387</v>
      </c>
      <c r="G318" s="80"/>
      <c r="H318" s="80"/>
      <c r="I318" s="16" t="s">
        <v>1637</v>
      </c>
      <c r="J318" s="16"/>
      <c r="K318" s="5" t="s">
        <v>6</v>
      </c>
      <c r="L318" s="10" t="str">
        <f t="shared" ca="1" si="23"/>
        <v>Calibrado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" hidden="1" customHeight="1">
      <c r="A319" s="21" t="s">
        <v>778</v>
      </c>
      <c r="B319" s="5" t="s">
        <v>1506</v>
      </c>
      <c r="C319" s="5" t="s">
        <v>65</v>
      </c>
      <c r="D319" s="9">
        <v>501464320</v>
      </c>
      <c r="E319" s="6">
        <v>45930</v>
      </c>
      <c r="F319" s="91">
        <f t="shared" si="26"/>
        <v>46295</v>
      </c>
      <c r="G319" s="80" t="s">
        <v>2062</v>
      </c>
      <c r="H319" s="80"/>
      <c r="I319" s="16" t="s">
        <v>1486</v>
      </c>
      <c r="J319" s="16"/>
      <c r="K319" s="4" t="s">
        <v>6</v>
      </c>
      <c r="L319" s="10" t="str">
        <f t="shared" ca="1" si="23"/>
        <v>Calibrado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" hidden="1" customHeight="1">
      <c r="A320" s="21" t="s">
        <v>779</v>
      </c>
      <c r="B320" s="5" t="s">
        <v>1506</v>
      </c>
      <c r="C320" s="5" t="s">
        <v>65</v>
      </c>
      <c r="D320" s="9">
        <v>501464330</v>
      </c>
      <c r="E320" s="6">
        <v>45954</v>
      </c>
      <c r="F320" s="91">
        <f t="shared" si="26"/>
        <v>46326</v>
      </c>
      <c r="G320" s="80" t="s">
        <v>2062</v>
      </c>
      <c r="H320" s="78"/>
      <c r="I320" s="16" t="s">
        <v>1535</v>
      </c>
      <c r="J320" s="16"/>
      <c r="K320" s="4" t="s">
        <v>6</v>
      </c>
      <c r="L320" s="10" t="str">
        <f t="shared" ca="1" si="23"/>
        <v>Calibrado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" hidden="1" customHeight="1">
      <c r="A321" s="21" t="s">
        <v>780</v>
      </c>
      <c r="B321" s="5" t="s">
        <v>1506</v>
      </c>
      <c r="C321" s="5" t="s">
        <v>65</v>
      </c>
      <c r="D321" s="9">
        <v>501464340</v>
      </c>
      <c r="E321" s="6">
        <v>45955</v>
      </c>
      <c r="F321" s="91">
        <f t="shared" si="26"/>
        <v>46326</v>
      </c>
      <c r="G321" s="80" t="s">
        <v>2062</v>
      </c>
      <c r="H321" s="78"/>
      <c r="I321" s="16" t="s">
        <v>1536</v>
      </c>
      <c r="J321" s="16"/>
      <c r="K321" s="4" t="s">
        <v>6</v>
      </c>
      <c r="L321" s="10" t="str">
        <f t="shared" ca="1" si="23"/>
        <v>Calibrado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" hidden="1" customHeight="1">
      <c r="A322" s="21" t="s">
        <v>781</v>
      </c>
      <c r="B322" s="5" t="s">
        <v>1506</v>
      </c>
      <c r="C322" s="5" t="s">
        <v>65</v>
      </c>
      <c r="D322" s="9" t="s">
        <v>1159</v>
      </c>
      <c r="E322" s="6">
        <v>45955</v>
      </c>
      <c r="F322" s="91">
        <f t="shared" si="26"/>
        <v>46326</v>
      </c>
      <c r="G322" s="80" t="s">
        <v>2063</v>
      </c>
      <c r="H322" s="78"/>
      <c r="I322" s="16" t="s">
        <v>1537</v>
      </c>
      <c r="J322" s="16"/>
      <c r="K322" s="4" t="s">
        <v>6</v>
      </c>
      <c r="L322" s="10" t="str">
        <f t="shared" ca="1" si="23"/>
        <v>Calibrado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" hidden="1" customHeight="1">
      <c r="A323" s="21" t="s">
        <v>782</v>
      </c>
      <c r="B323" s="5" t="s">
        <v>1506</v>
      </c>
      <c r="C323" s="5" t="s">
        <v>65</v>
      </c>
      <c r="D323" s="9" t="s">
        <v>783</v>
      </c>
      <c r="E323" s="6">
        <v>45957</v>
      </c>
      <c r="F323" s="91">
        <f t="shared" si="26"/>
        <v>46326</v>
      </c>
      <c r="G323" s="80" t="s">
        <v>2062</v>
      </c>
      <c r="H323" s="78"/>
      <c r="I323" s="16" t="s">
        <v>1538</v>
      </c>
      <c r="J323" s="16"/>
      <c r="K323" s="4" t="s">
        <v>6</v>
      </c>
      <c r="L323" s="10" t="str">
        <f t="shared" ref="L323:L386" ca="1" si="27">IF(K323="TERCEIRO","TERCEIRO",IF(K323="EM MODIF.","EM MODIF.",IF(K323="INATIVO","INATIVO",IF($E323="","Desenvolvimento",IF($F323&lt;$M$1,"Atrasado","Calibrado")))))</f>
        <v>Calibrado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" hidden="1" customHeight="1">
      <c r="A324" s="21" t="s">
        <v>283</v>
      </c>
      <c r="B324" s="5" t="s">
        <v>1506</v>
      </c>
      <c r="C324" s="13" t="s">
        <v>46</v>
      </c>
      <c r="D324" s="9" t="s">
        <v>45</v>
      </c>
      <c r="E324" s="6">
        <v>46139</v>
      </c>
      <c r="F324" s="91">
        <f t="shared" ref="F324:F337" si="28">EOMONTH(E324,12)</f>
        <v>46507</v>
      </c>
      <c r="G324" s="80" t="s">
        <v>2062</v>
      </c>
      <c r="H324" s="80"/>
      <c r="I324" s="16" t="s">
        <v>1150</v>
      </c>
      <c r="J324" s="16" t="s">
        <v>1912</v>
      </c>
      <c r="K324" s="5" t="s">
        <v>6</v>
      </c>
      <c r="L324" s="10" t="str">
        <f t="shared" ca="1" si="27"/>
        <v>Calibrado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" hidden="1" customHeight="1">
      <c r="A325" s="21" t="s">
        <v>282</v>
      </c>
      <c r="B325" s="5" t="s">
        <v>1506</v>
      </c>
      <c r="C325" s="13" t="s">
        <v>46</v>
      </c>
      <c r="D325" s="9" t="s">
        <v>47</v>
      </c>
      <c r="E325" s="6">
        <v>46139</v>
      </c>
      <c r="F325" s="91">
        <f t="shared" si="28"/>
        <v>46507</v>
      </c>
      <c r="G325" s="80" t="s">
        <v>2062</v>
      </c>
      <c r="H325" s="80"/>
      <c r="I325" s="16" t="s">
        <v>1151</v>
      </c>
      <c r="J325" s="16" t="s">
        <v>1913</v>
      </c>
      <c r="K325" s="5" t="s">
        <v>6</v>
      </c>
      <c r="L325" s="10" t="str">
        <f t="shared" ca="1" si="27"/>
        <v>Calibrado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" hidden="1" customHeight="1">
      <c r="A326" s="21" t="s">
        <v>278</v>
      </c>
      <c r="B326" s="5" t="s">
        <v>1506</v>
      </c>
      <c r="C326" s="13" t="s">
        <v>46</v>
      </c>
      <c r="D326" s="9" t="s">
        <v>48</v>
      </c>
      <c r="E326" s="6">
        <v>46139</v>
      </c>
      <c r="F326" s="91">
        <f t="shared" si="28"/>
        <v>46507</v>
      </c>
      <c r="G326" s="80" t="s">
        <v>2062</v>
      </c>
      <c r="H326" s="80"/>
      <c r="I326" s="16" t="s">
        <v>1152</v>
      </c>
      <c r="J326" s="16" t="s">
        <v>1914</v>
      </c>
      <c r="K326" s="5" t="s">
        <v>6</v>
      </c>
      <c r="L326" s="10" t="str">
        <f t="shared" ca="1" si="27"/>
        <v>Calibrado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" hidden="1" customHeight="1">
      <c r="A327" s="21" t="s">
        <v>277</v>
      </c>
      <c r="B327" s="5" t="s">
        <v>1506</v>
      </c>
      <c r="C327" s="13" t="s">
        <v>46</v>
      </c>
      <c r="D327" s="9" t="s">
        <v>49</v>
      </c>
      <c r="E327" s="6">
        <v>46140</v>
      </c>
      <c r="F327" s="91">
        <f t="shared" si="28"/>
        <v>46507</v>
      </c>
      <c r="G327" s="80" t="s">
        <v>2062</v>
      </c>
      <c r="H327" s="80"/>
      <c r="I327" s="16" t="s">
        <v>1153</v>
      </c>
      <c r="J327" s="16" t="s">
        <v>1915</v>
      </c>
      <c r="K327" s="5" t="s">
        <v>6</v>
      </c>
      <c r="L327" s="10" t="str">
        <f t="shared" ca="1" si="27"/>
        <v>Calibrado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" hidden="1" customHeight="1">
      <c r="A328" s="21" t="s">
        <v>276</v>
      </c>
      <c r="B328" s="5" t="s">
        <v>1506</v>
      </c>
      <c r="C328" s="13" t="s">
        <v>46</v>
      </c>
      <c r="D328" s="9" t="s">
        <v>50</v>
      </c>
      <c r="E328" s="6">
        <v>46140</v>
      </c>
      <c r="F328" s="91">
        <f t="shared" si="28"/>
        <v>46507</v>
      </c>
      <c r="G328" s="80" t="s">
        <v>2062</v>
      </c>
      <c r="H328" s="80"/>
      <c r="I328" s="16" t="s">
        <v>1154</v>
      </c>
      <c r="J328" s="16" t="s">
        <v>1916</v>
      </c>
      <c r="K328" s="5" t="s">
        <v>6</v>
      </c>
      <c r="L328" s="10" t="str">
        <f t="shared" ca="1" si="27"/>
        <v>Calibrado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" hidden="1" customHeight="1">
      <c r="A329" s="21" t="s">
        <v>275</v>
      </c>
      <c r="B329" s="5" t="s">
        <v>1506</v>
      </c>
      <c r="C329" s="13" t="s">
        <v>46</v>
      </c>
      <c r="D329" s="9" t="s">
        <v>51</v>
      </c>
      <c r="E329" s="6">
        <v>46140</v>
      </c>
      <c r="F329" s="91">
        <f t="shared" si="28"/>
        <v>46507</v>
      </c>
      <c r="G329" s="80" t="s">
        <v>2062</v>
      </c>
      <c r="H329" s="80"/>
      <c r="I329" s="16" t="s">
        <v>1155</v>
      </c>
      <c r="J329" s="16" t="s">
        <v>1917</v>
      </c>
      <c r="K329" s="5" t="s">
        <v>6</v>
      </c>
      <c r="L329" s="10" t="str">
        <f t="shared" ca="1" si="27"/>
        <v>Calibrado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" hidden="1" customHeight="1">
      <c r="A330" s="21" t="s">
        <v>274</v>
      </c>
      <c r="B330" s="5" t="s">
        <v>1506</v>
      </c>
      <c r="C330" s="31" t="s">
        <v>34</v>
      </c>
      <c r="D330" s="9" t="s">
        <v>57</v>
      </c>
      <c r="E330" s="6">
        <v>46055</v>
      </c>
      <c r="F330" s="91">
        <f t="shared" si="28"/>
        <v>46446</v>
      </c>
      <c r="G330" s="80" t="s">
        <v>2062</v>
      </c>
      <c r="H330" s="78" t="s">
        <v>2066</v>
      </c>
      <c r="I330" s="16" t="s">
        <v>1054</v>
      </c>
      <c r="J330" s="16" t="s">
        <v>1757</v>
      </c>
      <c r="K330" s="5" t="s">
        <v>6</v>
      </c>
      <c r="L330" s="10" t="str">
        <f t="shared" ca="1" si="27"/>
        <v>Calibrado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" hidden="1" customHeight="1">
      <c r="A331" s="21" t="s">
        <v>273</v>
      </c>
      <c r="B331" s="5" t="s">
        <v>1506</v>
      </c>
      <c r="C331" s="31" t="s">
        <v>34</v>
      </c>
      <c r="D331" s="9" t="s">
        <v>52</v>
      </c>
      <c r="E331" s="6">
        <v>45912</v>
      </c>
      <c r="F331" s="91">
        <f t="shared" si="28"/>
        <v>46295</v>
      </c>
      <c r="G331" s="80" t="s">
        <v>2062</v>
      </c>
      <c r="H331" s="80"/>
      <c r="I331" s="16" t="s">
        <v>1461</v>
      </c>
      <c r="J331" s="16"/>
      <c r="K331" s="5" t="s">
        <v>6</v>
      </c>
      <c r="L331" s="10" t="str">
        <f t="shared" ca="1" si="27"/>
        <v>Calibrado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" hidden="1" customHeight="1">
      <c r="A332" s="21" t="s">
        <v>272</v>
      </c>
      <c r="B332" s="5" t="s">
        <v>1506</v>
      </c>
      <c r="C332" s="31" t="s">
        <v>34</v>
      </c>
      <c r="D332" s="9" t="s">
        <v>53</v>
      </c>
      <c r="E332" s="6">
        <v>45913</v>
      </c>
      <c r="F332" s="91">
        <f t="shared" si="28"/>
        <v>46295</v>
      </c>
      <c r="G332" s="80" t="s">
        <v>2062</v>
      </c>
      <c r="H332" s="80"/>
      <c r="I332" s="16" t="s">
        <v>1462</v>
      </c>
      <c r="J332" s="16"/>
      <c r="K332" s="5" t="s">
        <v>6</v>
      </c>
      <c r="L332" s="10" t="str">
        <f t="shared" ca="1" si="27"/>
        <v>Calibrado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" hidden="1" customHeight="1">
      <c r="A333" s="21" t="s">
        <v>271</v>
      </c>
      <c r="B333" s="5" t="s">
        <v>1506</v>
      </c>
      <c r="C333" s="31" t="s">
        <v>34</v>
      </c>
      <c r="D333" s="9" t="s">
        <v>579</v>
      </c>
      <c r="E333" s="6">
        <v>45966</v>
      </c>
      <c r="F333" s="91">
        <f t="shared" si="28"/>
        <v>46356</v>
      </c>
      <c r="G333" s="80"/>
      <c r="H333" s="80"/>
      <c r="I333" s="16" t="s">
        <v>1561</v>
      </c>
      <c r="J333" s="16"/>
      <c r="K333" s="5" t="s">
        <v>6</v>
      </c>
      <c r="L333" s="10" t="str">
        <f t="shared" ca="1" si="27"/>
        <v>Calibrado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" hidden="1" customHeight="1">
      <c r="A334" s="21" t="s">
        <v>270</v>
      </c>
      <c r="B334" s="5" t="s">
        <v>1506</v>
      </c>
      <c r="C334" s="31" t="s">
        <v>34</v>
      </c>
      <c r="D334" s="9" t="s">
        <v>580</v>
      </c>
      <c r="E334" s="6">
        <v>45966</v>
      </c>
      <c r="F334" s="91">
        <f t="shared" si="28"/>
        <v>46356</v>
      </c>
      <c r="G334" s="80"/>
      <c r="H334" s="80"/>
      <c r="I334" s="16" t="s">
        <v>1562</v>
      </c>
      <c r="J334" s="16"/>
      <c r="K334" s="5" t="s">
        <v>6</v>
      </c>
      <c r="L334" s="10" t="str">
        <f t="shared" ca="1" si="27"/>
        <v>Calibrado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" hidden="1" customHeight="1">
      <c r="A335" s="21" t="s">
        <v>152</v>
      </c>
      <c r="B335" s="5" t="s">
        <v>1506</v>
      </c>
      <c r="C335" s="5" t="s">
        <v>65</v>
      </c>
      <c r="D335" s="59">
        <v>52176193</v>
      </c>
      <c r="E335" s="6">
        <v>45957</v>
      </c>
      <c r="F335" s="91">
        <f t="shared" si="28"/>
        <v>46326</v>
      </c>
      <c r="G335" s="80" t="s">
        <v>2062</v>
      </c>
      <c r="H335" s="80"/>
      <c r="I335" s="16" t="s">
        <v>1539</v>
      </c>
      <c r="J335" s="16"/>
      <c r="K335" s="5" t="s">
        <v>6</v>
      </c>
      <c r="L335" s="10" t="str">
        <f t="shared" ca="1" si="27"/>
        <v>Calibrado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" hidden="1" customHeight="1">
      <c r="A336" s="21" t="s">
        <v>153</v>
      </c>
      <c r="B336" s="5" t="s">
        <v>1506</v>
      </c>
      <c r="C336" s="5" t="s">
        <v>65</v>
      </c>
      <c r="D336" s="59" t="s">
        <v>790</v>
      </c>
      <c r="E336" s="6">
        <v>45930</v>
      </c>
      <c r="F336" s="91">
        <f t="shared" si="28"/>
        <v>46295</v>
      </c>
      <c r="G336" s="80" t="s">
        <v>2062</v>
      </c>
      <c r="H336" s="80"/>
      <c r="I336" s="16" t="s">
        <v>1487</v>
      </c>
      <c r="J336" s="16"/>
      <c r="K336" s="5" t="s">
        <v>6</v>
      </c>
      <c r="L336" s="10" t="str">
        <f t="shared" ca="1" si="27"/>
        <v>Calibrado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" hidden="1" customHeight="1">
      <c r="A337" s="21" t="s">
        <v>789</v>
      </c>
      <c r="B337" s="5" t="s">
        <v>1506</v>
      </c>
      <c r="C337" s="5" t="s">
        <v>65</v>
      </c>
      <c r="D337" s="9" t="s">
        <v>791</v>
      </c>
      <c r="E337" s="6">
        <v>46122</v>
      </c>
      <c r="F337" s="91">
        <f t="shared" si="28"/>
        <v>46507</v>
      </c>
      <c r="G337" s="78"/>
      <c r="H337" s="78"/>
      <c r="I337" s="16" t="s">
        <v>1168</v>
      </c>
      <c r="J337" s="16" t="s">
        <v>1883</v>
      </c>
      <c r="K337" s="5" t="s">
        <v>6</v>
      </c>
      <c r="L337" s="10" t="str">
        <f t="shared" ca="1" si="27"/>
        <v>Calibrado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" hidden="1" customHeight="1">
      <c r="A338" s="21" t="s">
        <v>258</v>
      </c>
      <c r="B338" s="5" t="s">
        <v>1506</v>
      </c>
      <c r="C338" s="5" t="s">
        <v>65</v>
      </c>
      <c r="D338" s="9" t="s">
        <v>793</v>
      </c>
      <c r="E338" s="6">
        <v>46009</v>
      </c>
      <c r="F338" s="91">
        <f>EOMONTH(E338,12)</f>
        <v>46387</v>
      </c>
      <c r="G338" s="80"/>
      <c r="H338" s="80"/>
      <c r="I338" s="16" t="s">
        <v>1638</v>
      </c>
      <c r="J338" s="16"/>
      <c r="K338" s="5" t="s">
        <v>6</v>
      </c>
      <c r="L338" s="10" t="str">
        <f t="shared" ca="1" si="27"/>
        <v>Calibrado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" hidden="1" customHeight="1">
      <c r="A339" s="21">
        <v>1228</v>
      </c>
      <c r="B339" s="5" t="s">
        <v>1506</v>
      </c>
      <c r="C339" s="5" t="s">
        <v>65</v>
      </c>
      <c r="D339" s="9">
        <v>46353089</v>
      </c>
      <c r="E339" s="6">
        <v>46086</v>
      </c>
      <c r="F339" s="91">
        <f>EOMONTH(E339,12)</f>
        <v>46477</v>
      </c>
      <c r="G339" s="80" t="s">
        <v>2063</v>
      </c>
      <c r="H339" s="80"/>
      <c r="I339" s="16" t="s">
        <v>1104</v>
      </c>
      <c r="J339" s="16" t="s">
        <v>1813</v>
      </c>
      <c r="K339" s="5" t="s">
        <v>6</v>
      </c>
      <c r="L339" s="10" t="str">
        <f t="shared" ca="1" si="27"/>
        <v>Calibrado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" hidden="1" customHeight="1">
      <c r="A340" s="21">
        <v>1229</v>
      </c>
      <c r="B340" s="5" t="s">
        <v>1506</v>
      </c>
      <c r="C340" s="5" t="s">
        <v>65</v>
      </c>
      <c r="D340" s="9" t="s">
        <v>792</v>
      </c>
      <c r="E340" s="6">
        <v>46009</v>
      </c>
      <c r="F340" s="91">
        <f>EOMONTH(E340,12)</f>
        <v>46387</v>
      </c>
      <c r="G340" s="78"/>
      <c r="H340" s="78"/>
      <c r="I340" s="16" t="s">
        <v>1639</v>
      </c>
      <c r="J340" s="16"/>
      <c r="K340" s="4" t="s">
        <v>6</v>
      </c>
      <c r="L340" s="10" t="str">
        <f t="shared" ca="1" si="27"/>
        <v>Calibrado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" hidden="1" customHeight="1">
      <c r="A341" s="21">
        <v>1230</v>
      </c>
      <c r="B341" s="5" t="s">
        <v>1506</v>
      </c>
      <c r="C341" s="5" t="s">
        <v>65</v>
      </c>
      <c r="D341" s="9" t="s">
        <v>1194</v>
      </c>
      <c r="E341" s="6">
        <v>46010</v>
      </c>
      <c r="F341" s="91">
        <f>EOMONTH(E341,12)</f>
        <v>46387</v>
      </c>
      <c r="G341" s="78"/>
      <c r="H341" s="78"/>
      <c r="I341" s="16" t="s">
        <v>1640</v>
      </c>
      <c r="J341" s="16"/>
      <c r="K341" s="4" t="s">
        <v>6</v>
      </c>
      <c r="L341" s="10" t="str">
        <f t="shared" ca="1" si="27"/>
        <v>Calibrado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" hidden="1" customHeight="1">
      <c r="A342" s="21">
        <v>1231</v>
      </c>
      <c r="B342" s="5" t="s">
        <v>1506</v>
      </c>
      <c r="C342" s="5" t="s">
        <v>65</v>
      </c>
      <c r="D342" s="9" t="s">
        <v>1195</v>
      </c>
      <c r="E342" s="6">
        <v>46010</v>
      </c>
      <c r="F342" s="91">
        <f>EOMONTH(E342,12)</f>
        <v>46387</v>
      </c>
      <c r="G342" s="78"/>
      <c r="H342" s="78"/>
      <c r="I342" s="16" t="s">
        <v>1641</v>
      </c>
      <c r="J342" s="16"/>
      <c r="K342" s="4" t="s">
        <v>6</v>
      </c>
      <c r="L342" s="10" t="str">
        <f t="shared" ca="1" si="27"/>
        <v>Calibrado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" hidden="1" customHeight="1">
      <c r="A343" s="21" t="s">
        <v>199</v>
      </c>
      <c r="B343" s="5" t="s">
        <v>1505</v>
      </c>
      <c r="C343" s="22" t="s">
        <v>32</v>
      </c>
      <c r="D343" s="59" t="s">
        <v>794</v>
      </c>
      <c r="E343" s="6">
        <v>45974</v>
      </c>
      <c r="F343" s="91">
        <f t="shared" ref="F343:F368" si="29">EOMONTH(E343,12)</f>
        <v>46356</v>
      </c>
      <c r="G343" s="80"/>
      <c r="H343" s="80"/>
      <c r="I343" s="16" t="s">
        <v>1572</v>
      </c>
      <c r="J343" s="16"/>
      <c r="K343" s="5" t="s">
        <v>6</v>
      </c>
      <c r="L343" s="10" t="str">
        <f t="shared" ca="1" si="27"/>
        <v>Calibrado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" hidden="1" customHeight="1">
      <c r="A344" s="21" t="s">
        <v>198</v>
      </c>
      <c r="B344" s="5" t="s">
        <v>1505</v>
      </c>
      <c r="C344" s="22" t="s">
        <v>32</v>
      </c>
      <c r="D344" s="59" t="s">
        <v>795</v>
      </c>
      <c r="E344" s="6">
        <v>45974</v>
      </c>
      <c r="F344" s="91">
        <f t="shared" si="29"/>
        <v>46356</v>
      </c>
      <c r="G344" s="80"/>
      <c r="H344" s="80"/>
      <c r="I344" s="16" t="s">
        <v>1573</v>
      </c>
      <c r="J344" s="16"/>
      <c r="K344" s="5" t="s">
        <v>6</v>
      </c>
      <c r="L344" s="10" t="str">
        <f t="shared" ca="1" si="27"/>
        <v>Calibrado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" hidden="1" customHeight="1">
      <c r="A345" s="21" t="s">
        <v>197</v>
      </c>
      <c r="B345" s="5" t="s">
        <v>1505</v>
      </c>
      <c r="C345" s="22" t="s">
        <v>32</v>
      </c>
      <c r="D345" s="59" t="s">
        <v>796</v>
      </c>
      <c r="E345" s="6">
        <v>45974</v>
      </c>
      <c r="F345" s="91">
        <f t="shared" si="29"/>
        <v>46356</v>
      </c>
      <c r="G345" s="80"/>
      <c r="H345" s="80"/>
      <c r="I345" s="16" t="s">
        <v>1574</v>
      </c>
      <c r="J345" s="16"/>
      <c r="K345" s="5" t="s">
        <v>6</v>
      </c>
      <c r="L345" s="10" t="str">
        <f t="shared" ca="1" si="27"/>
        <v>Calibrado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" hidden="1" customHeight="1">
      <c r="A346" s="21" t="s">
        <v>797</v>
      </c>
      <c r="B346" s="5" t="s">
        <v>1506</v>
      </c>
      <c r="C346" s="42" t="s">
        <v>7</v>
      </c>
      <c r="D346" s="59" t="s">
        <v>798</v>
      </c>
      <c r="E346" s="6">
        <v>46004</v>
      </c>
      <c r="F346" s="91">
        <f t="shared" si="29"/>
        <v>46387</v>
      </c>
      <c r="G346" s="80"/>
      <c r="H346" s="80"/>
      <c r="I346" s="16" t="s">
        <v>1626</v>
      </c>
      <c r="J346" s="16"/>
      <c r="K346" s="5" t="s">
        <v>6</v>
      </c>
      <c r="L346" s="10" t="str">
        <f t="shared" ca="1" si="27"/>
        <v>Calibrado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" hidden="1" customHeight="1">
      <c r="A347" s="21" t="s">
        <v>190</v>
      </c>
      <c r="B347" s="5" t="s">
        <v>1506</v>
      </c>
      <c r="C347" s="42" t="s">
        <v>7</v>
      </c>
      <c r="D347" s="59">
        <v>26318474</v>
      </c>
      <c r="E347" s="6">
        <v>46078</v>
      </c>
      <c r="F347" s="91">
        <f t="shared" si="29"/>
        <v>46446</v>
      </c>
      <c r="G347" s="80" t="s">
        <v>2063</v>
      </c>
      <c r="H347" s="78" t="s">
        <v>2066</v>
      </c>
      <c r="I347" s="16" t="s">
        <v>1093</v>
      </c>
      <c r="J347" s="16" t="s">
        <v>1796</v>
      </c>
      <c r="K347" s="5" t="s">
        <v>6</v>
      </c>
      <c r="L347" s="10" t="str">
        <f t="shared" ca="1" si="27"/>
        <v>Calibrado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" hidden="1" customHeight="1">
      <c r="A348" s="21" t="s">
        <v>492</v>
      </c>
      <c r="B348" s="5" t="s">
        <v>1506</v>
      </c>
      <c r="C348" s="42" t="s">
        <v>7</v>
      </c>
      <c r="D348" s="59" t="s">
        <v>799</v>
      </c>
      <c r="E348" s="6">
        <v>46004</v>
      </c>
      <c r="F348" s="91">
        <f t="shared" si="29"/>
        <v>46387</v>
      </c>
      <c r="G348" s="80"/>
      <c r="H348" s="80"/>
      <c r="I348" s="16" t="s">
        <v>1627</v>
      </c>
      <c r="J348" s="16"/>
      <c r="K348" s="5" t="s">
        <v>6</v>
      </c>
      <c r="L348" s="10" t="str">
        <f t="shared" ca="1" si="27"/>
        <v>Calibrado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" hidden="1" customHeight="1">
      <c r="A349" s="21" t="s">
        <v>136</v>
      </c>
      <c r="B349" s="5" t="s">
        <v>1506</v>
      </c>
      <c r="C349" s="42" t="s">
        <v>7</v>
      </c>
      <c r="D349" s="9" t="s">
        <v>800</v>
      </c>
      <c r="E349" s="6">
        <v>46050</v>
      </c>
      <c r="F349" s="91">
        <f t="shared" si="29"/>
        <v>46418</v>
      </c>
      <c r="G349" s="78"/>
      <c r="H349" s="78" t="s">
        <v>2066</v>
      </c>
      <c r="I349" s="16" t="s">
        <v>1047</v>
      </c>
      <c r="J349" s="16" t="s">
        <v>1750</v>
      </c>
      <c r="K349" s="5" t="s">
        <v>6</v>
      </c>
      <c r="L349" s="10" t="str">
        <f t="shared" ca="1" si="27"/>
        <v>Calibrado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" hidden="1" customHeight="1">
      <c r="A350" s="21" t="s">
        <v>156</v>
      </c>
      <c r="B350" s="5" t="s">
        <v>1506</v>
      </c>
      <c r="C350" s="42" t="s">
        <v>7</v>
      </c>
      <c r="D350" s="59" t="s">
        <v>801</v>
      </c>
      <c r="E350" s="6">
        <v>46004</v>
      </c>
      <c r="F350" s="91">
        <f t="shared" si="29"/>
        <v>46387</v>
      </c>
      <c r="G350" s="80"/>
      <c r="H350" s="80"/>
      <c r="I350" s="16" t="s">
        <v>1628</v>
      </c>
      <c r="J350" s="16"/>
      <c r="K350" s="5" t="s">
        <v>6</v>
      </c>
      <c r="L350" s="10" t="str">
        <f t="shared" ca="1" si="27"/>
        <v>Calibrado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" hidden="1" customHeight="1">
      <c r="A351" s="21" t="s">
        <v>194</v>
      </c>
      <c r="B351" s="5" t="s">
        <v>1506</v>
      </c>
      <c r="C351" s="42" t="s">
        <v>7</v>
      </c>
      <c r="D351" s="59" t="s">
        <v>802</v>
      </c>
      <c r="E351" s="6">
        <v>45918</v>
      </c>
      <c r="F351" s="91">
        <f t="shared" si="29"/>
        <v>46295</v>
      </c>
      <c r="G351" s="80" t="s">
        <v>2062</v>
      </c>
      <c r="H351" s="80"/>
      <c r="I351" s="16" t="s">
        <v>1469</v>
      </c>
      <c r="J351" s="16"/>
      <c r="K351" s="5" t="s">
        <v>6</v>
      </c>
      <c r="L351" s="10" t="str">
        <f t="shared" ca="1" si="27"/>
        <v>Calibrado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" hidden="1" customHeight="1">
      <c r="A352" s="21" t="s">
        <v>191</v>
      </c>
      <c r="B352" s="5" t="s">
        <v>1506</v>
      </c>
      <c r="C352" s="42" t="s">
        <v>7</v>
      </c>
      <c r="D352" s="59" t="s">
        <v>803</v>
      </c>
      <c r="E352" s="6">
        <v>45919</v>
      </c>
      <c r="F352" s="91">
        <f t="shared" si="29"/>
        <v>46295</v>
      </c>
      <c r="G352" s="80" t="s">
        <v>2062</v>
      </c>
      <c r="H352" s="80"/>
      <c r="I352" s="16" t="s">
        <v>1470</v>
      </c>
      <c r="J352" s="16"/>
      <c r="K352" s="5" t="s">
        <v>6</v>
      </c>
      <c r="L352" s="10" t="str">
        <f t="shared" ca="1" si="27"/>
        <v>Calibrado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" hidden="1" customHeight="1">
      <c r="A353" s="21" t="s">
        <v>155</v>
      </c>
      <c r="B353" s="5" t="s">
        <v>1506</v>
      </c>
      <c r="C353" s="42" t="s">
        <v>7</v>
      </c>
      <c r="D353" s="59" t="s">
        <v>804</v>
      </c>
      <c r="E353" s="6">
        <v>45919</v>
      </c>
      <c r="F353" s="91">
        <f t="shared" si="29"/>
        <v>46295</v>
      </c>
      <c r="G353" s="80" t="s">
        <v>2062</v>
      </c>
      <c r="H353" s="80"/>
      <c r="I353" s="16" t="s">
        <v>1471</v>
      </c>
      <c r="J353" s="16"/>
      <c r="K353" s="5" t="s">
        <v>6</v>
      </c>
      <c r="L353" s="10" t="str">
        <f t="shared" ca="1" si="27"/>
        <v>Calibrado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" hidden="1" customHeight="1">
      <c r="A354" s="21" t="s">
        <v>193</v>
      </c>
      <c r="B354" s="5" t="s">
        <v>1506</v>
      </c>
      <c r="C354" s="42" t="s">
        <v>7</v>
      </c>
      <c r="D354" s="59" t="s">
        <v>805</v>
      </c>
      <c r="E354" s="6">
        <v>45919</v>
      </c>
      <c r="F354" s="91">
        <f t="shared" si="29"/>
        <v>46295</v>
      </c>
      <c r="G354" s="80" t="s">
        <v>2062</v>
      </c>
      <c r="H354" s="80"/>
      <c r="I354" s="16" t="s">
        <v>1472</v>
      </c>
      <c r="J354" s="16"/>
      <c r="K354" s="5" t="s">
        <v>6</v>
      </c>
      <c r="L354" s="10" t="str">
        <f t="shared" ca="1" si="27"/>
        <v>Calibrado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" hidden="1" customHeight="1">
      <c r="A355" s="21" t="s">
        <v>135</v>
      </c>
      <c r="B355" s="5" t="s">
        <v>1506</v>
      </c>
      <c r="C355" s="42" t="s">
        <v>7</v>
      </c>
      <c r="D355" s="9" t="s">
        <v>806</v>
      </c>
      <c r="E355" s="6">
        <v>46050</v>
      </c>
      <c r="F355" s="91">
        <f t="shared" si="29"/>
        <v>46418</v>
      </c>
      <c r="G355" s="78"/>
      <c r="H355" s="78" t="s">
        <v>2066</v>
      </c>
      <c r="I355" s="16" t="s">
        <v>1048</v>
      </c>
      <c r="J355" s="16" t="s">
        <v>1751</v>
      </c>
      <c r="K355" s="5" t="s">
        <v>6</v>
      </c>
      <c r="L355" s="10" t="str">
        <f t="shared" ca="1" si="27"/>
        <v>Calibrado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" hidden="1" customHeight="1">
      <c r="A356" s="21" t="s">
        <v>134</v>
      </c>
      <c r="B356" s="5" t="s">
        <v>1506</v>
      </c>
      <c r="C356" s="42" t="s">
        <v>7</v>
      </c>
      <c r="D356" s="9" t="s">
        <v>807</v>
      </c>
      <c r="E356" s="6">
        <v>46051</v>
      </c>
      <c r="F356" s="91">
        <f t="shared" si="29"/>
        <v>46418</v>
      </c>
      <c r="G356" s="78"/>
      <c r="H356" s="78" t="s">
        <v>2066</v>
      </c>
      <c r="I356" s="16" t="s">
        <v>1049</v>
      </c>
      <c r="J356" s="16" t="s">
        <v>1752</v>
      </c>
      <c r="K356" s="5" t="s">
        <v>6</v>
      </c>
      <c r="L356" s="10" t="str">
        <f t="shared" ca="1" si="27"/>
        <v>Calibrado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" hidden="1" customHeight="1">
      <c r="A357" s="21" t="s">
        <v>154</v>
      </c>
      <c r="B357" s="5" t="s">
        <v>1506</v>
      </c>
      <c r="C357" s="42" t="s">
        <v>7</v>
      </c>
      <c r="D357" s="59" t="s">
        <v>808</v>
      </c>
      <c r="E357" s="6">
        <v>46079</v>
      </c>
      <c r="F357" s="91">
        <f t="shared" si="29"/>
        <v>46446</v>
      </c>
      <c r="G357" s="80" t="s">
        <v>2062</v>
      </c>
      <c r="H357" s="78" t="s">
        <v>2066</v>
      </c>
      <c r="I357" s="16" t="s">
        <v>1094</v>
      </c>
      <c r="J357" s="16" t="s">
        <v>1797</v>
      </c>
      <c r="K357" s="5" t="s">
        <v>6</v>
      </c>
      <c r="L357" s="10" t="str">
        <f t="shared" ca="1" si="27"/>
        <v>Calibrado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" hidden="1" customHeight="1">
      <c r="A358" s="21" t="s">
        <v>133</v>
      </c>
      <c r="B358" s="5" t="s">
        <v>1506</v>
      </c>
      <c r="C358" s="42" t="s">
        <v>7</v>
      </c>
      <c r="D358" s="9" t="s">
        <v>809</v>
      </c>
      <c r="E358" s="6">
        <v>46051</v>
      </c>
      <c r="F358" s="91">
        <f t="shared" si="29"/>
        <v>46418</v>
      </c>
      <c r="G358" s="78"/>
      <c r="H358" s="78" t="s">
        <v>2066</v>
      </c>
      <c r="I358" s="16" t="s">
        <v>1050</v>
      </c>
      <c r="J358" s="16" t="s">
        <v>1753</v>
      </c>
      <c r="K358" s="5" t="s">
        <v>6</v>
      </c>
      <c r="L358" s="10" t="str">
        <f t="shared" ca="1" si="27"/>
        <v>Calibrado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" hidden="1" customHeight="1">
      <c r="A359" s="21" t="s">
        <v>132</v>
      </c>
      <c r="B359" s="5" t="s">
        <v>1506</v>
      </c>
      <c r="C359" s="42" t="s">
        <v>7</v>
      </c>
      <c r="D359" s="9" t="s">
        <v>810</v>
      </c>
      <c r="E359" s="6">
        <v>46051</v>
      </c>
      <c r="F359" s="91">
        <f t="shared" si="29"/>
        <v>46418</v>
      </c>
      <c r="G359" s="78"/>
      <c r="H359" s="78" t="s">
        <v>2066</v>
      </c>
      <c r="I359" s="16" t="s">
        <v>1051</v>
      </c>
      <c r="J359" s="16" t="s">
        <v>1754</v>
      </c>
      <c r="K359" s="5" t="s">
        <v>6</v>
      </c>
      <c r="L359" s="10" t="str">
        <f t="shared" ca="1" si="27"/>
        <v>Calibrado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" hidden="1" customHeight="1">
      <c r="A360" s="21" t="s">
        <v>131</v>
      </c>
      <c r="B360" s="5" t="s">
        <v>1506</v>
      </c>
      <c r="C360" s="42" t="s">
        <v>7</v>
      </c>
      <c r="D360" s="9">
        <v>26275187</v>
      </c>
      <c r="E360" s="6">
        <v>46052</v>
      </c>
      <c r="F360" s="91">
        <f t="shared" si="29"/>
        <v>46418</v>
      </c>
      <c r="G360" s="78"/>
      <c r="H360" s="78" t="s">
        <v>2066</v>
      </c>
      <c r="I360" s="16" t="s">
        <v>1052</v>
      </c>
      <c r="J360" s="16" t="s">
        <v>1755</v>
      </c>
      <c r="K360" s="5" t="s">
        <v>6</v>
      </c>
      <c r="L360" s="10" t="str">
        <f t="shared" ca="1" si="27"/>
        <v>Calibrado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" hidden="1" customHeight="1">
      <c r="A361" s="21" t="s">
        <v>151</v>
      </c>
      <c r="B361" s="5" t="s">
        <v>1506</v>
      </c>
      <c r="C361" s="42" t="s">
        <v>7</v>
      </c>
      <c r="D361" s="59" t="s">
        <v>811</v>
      </c>
      <c r="E361" s="6">
        <v>45920</v>
      </c>
      <c r="F361" s="91">
        <f t="shared" si="29"/>
        <v>46295</v>
      </c>
      <c r="G361" s="80" t="s">
        <v>2062</v>
      </c>
      <c r="H361" s="80"/>
      <c r="I361" s="16" t="s">
        <v>1473</v>
      </c>
      <c r="J361" s="16"/>
      <c r="K361" s="5" t="s">
        <v>6</v>
      </c>
      <c r="L361" s="10" t="str">
        <f t="shared" ca="1" si="27"/>
        <v>Calibrado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" hidden="1" customHeight="1">
      <c r="A362" s="21" t="s">
        <v>130</v>
      </c>
      <c r="B362" s="5" t="s">
        <v>1506</v>
      </c>
      <c r="C362" s="42" t="s">
        <v>7</v>
      </c>
      <c r="D362" s="9">
        <v>26400997</v>
      </c>
      <c r="E362" s="6">
        <v>46052</v>
      </c>
      <c r="F362" s="91">
        <f t="shared" si="29"/>
        <v>46418</v>
      </c>
      <c r="G362" s="78"/>
      <c r="H362" s="78" t="s">
        <v>2066</v>
      </c>
      <c r="I362" s="16" t="s">
        <v>1053</v>
      </c>
      <c r="J362" s="16" t="s">
        <v>1756</v>
      </c>
      <c r="K362" s="5" t="s">
        <v>6</v>
      </c>
      <c r="L362" s="10" t="str">
        <f t="shared" ca="1" si="27"/>
        <v>Calibrado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" hidden="1" customHeight="1">
      <c r="A363" s="21" t="s">
        <v>150</v>
      </c>
      <c r="B363" s="5" t="s">
        <v>1506</v>
      </c>
      <c r="C363" s="42" t="s">
        <v>7</v>
      </c>
      <c r="D363" s="59" t="s">
        <v>812</v>
      </c>
      <c r="E363" s="6">
        <v>46079</v>
      </c>
      <c r="F363" s="91">
        <f t="shared" si="29"/>
        <v>46446</v>
      </c>
      <c r="G363" s="80" t="s">
        <v>2062</v>
      </c>
      <c r="H363" s="78" t="s">
        <v>2066</v>
      </c>
      <c r="I363" s="16" t="s">
        <v>1095</v>
      </c>
      <c r="J363" s="16" t="s">
        <v>1798</v>
      </c>
      <c r="K363" s="5" t="s">
        <v>6</v>
      </c>
      <c r="L363" s="10" t="str">
        <f t="shared" ca="1" si="27"/>
        <v>Calibrado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" hidden="1" customHeight="1">
      <c r="A364" s="21" t="s">
        <v>149</v>
      </c>
      <c r="B364" s="5" t="s">
        <v>1506</v>
      </c>
      <c r="C364" s="42" t="s">
        <v>7</v>
      </c>
      <c r="D364" s="59">
        <v>26409093</v>
      </c>
      <c r="E364" s="6">
        <v>46079</v>
      </c>
      <c r="F364" s="91">
        <f t="shared" si="29"/>
        <v>46446</v>
      </c>
      <c r="G364" s="80" t="s">
        <v>2062</v>
      </c>
      <c r="H364" s="78" t="s">
        <v>2066</v>
      </c>
      <c r="I364" s="16" t="s">
        <v>1096</v>
      </c>
      <c r="J364" s="16" t="s">
        <v>1799</v>
      </c>
      <c r="K364" s="5" t="s">
        <v>6</v>
      </c>
      <c r="L364" s="10" t="str">
        <f t="shared" ca="1" si="27"/>
        <v>Calibrado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" hidden="1" customHeight="1">
      <c r="A365" s="21" t="s">
        <v>192</v>
      </c>
      <c r="B365" s="5" t="s">
        <v>1506</v>
      </c>
      <c r="C365" s="42" t="s">
        <v>7</v>
      </c>
      <c r="D365" s="59">
        <v>26402680</v>
      </c>
      <c r="E365" s="6">
        <v>45951</v>
      </c>
      <c r="F365" s="91">
        <f t="shared" si="29"/>
        <v>46326</v>
      </c>
      <c r="G365" s="80" t="s">
        <v>2062</v>
      </c>
      <c r="H365" s="80"/>
      <c r="I365" s="16" t="s">
        <v>1529</v>
      </c>
      <c r="J365" s="16"/>
      <c r="K365" s="5" t="s">
        <v>6</v>
      </c>
      <c r="L365" s="10" t="str">
        <f t="shared" ca="1" si="27"/>
        <v>Calibrado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" hidden="1" customHeight="1">
      <c r="A366" s="21" t="s">
        <v>148</v>
      </c>
      <c r="B366" s="5" t="s">
        <v>1506</v>
      </c>
      <c r="C366" s="42" t="s">
        <v>7</v>
      </c>
      <c r="D366" s="59" t="s">
        <v>813</v>
      </c>
      <c r="E366" s="6">
        <v>45951</v>
      </c>
      <c r="F366" s="91">
        <f t="shared" si="29"/>
        <v>46326</v>
      </c>
      <c r="G366" s="80" t="s">
        <v>2062</v>
      </c>
      <c r="H366" s="80"/>
      <c r="I366" s="16" t="s">
        <v>1530</v>
      </c>
      <c r="J366" s="16"/>
      <c r="K366" s="5" t="s">
        <v>6</v>
      </c>
      <c r="L366" s="10" t="str">
        <f t="shared" ca="1" si="27"/>
        <v>Calibrado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" hidden="1" customHeight="1">
      <c r="A367" s="21" t="s">
        <v>195</v>
      </c>
      <c r="B367" s="5" t="s">
        <v>1506</v>
      </c>
      <c r="C367" s="42" t="s">
        <v>7</v>
      </c>
      <c r="D367" s="59" t="s">
        <v>814</v>
      </c>
      <c r="E367" s="6">
        <v>45920</v>
      </c>
      <c r="F367" s="91">
        <f t="shared" si="29"/>
        <v>46295</v>
      </c>
      <c r="G367" s="80" t="s">
        <v>2063</v>
      </c>
      <c r="H367" s="80"/>
      <c r="I367" s="16" t="s">
        <v>1474</v>
      </c>
      <c r="J367" s="16"/>
      <c r="K367" s="5" t="s">
        <v>6</v>
      </c>
      <c r="L367" s="10" t="str">
        <f t="shared" ca="1" si="27"/>
        <v>Calibrado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" hidden="1" customHeight="1">
      <c r="A368" s="21" t="s">
        <v>815</v>
      </c>
      <c r="B368" s="5" t="s">
        <v>1506</v>
      </c>
      <c r="C368" s="22" t="s">
        <v>32</v>
      </c>
      <c r="D368" s="9" t="s">
        <v>816</v>
      </c>
      <c r="E368" s="6">
        <v>46128</v>
      </c>
      <c r="F368" s="91">
        <f t="shared" si="29"/>
        <v>46507</v>
      </c>
      <c r="G368" s="78"/>
      <c r="H368" s="78"/>
      <c r="I368" s="16" t="s">
        <v>1186</v>
      </c>
      <c r="J368" s="16" t="s">
        <v>1892</v>
      </c>
      <c r="K368" s="5" t="s">
        <v>6</v>
      </c>
      <c r="L368" s="10" t="str">
        <f t="shared" ca="1" si="27"/>
        <v>Calibrado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" hidden="1" customHeight="1">
      <c r="A369" s="21" t="s">
        <v>269</v>
      </c>
      <c r="B369" s="5" t="s">
        <v>1506</v>
      </c>
      <c r="C369" s="22" t="s">
        <v>32</v>
      </c>
      <c r="D369" s="9" t="s">
        <v>817</v>
      </c>
      <c r="E369" s="6">
        <v>46057</v>
      </c>
      <c r="F369" s="91">
        <f t="shared" ref="F369:F386" si="30">EOMONTH(E369,12)</f>
        <v>46446</v>
      </c>
      <c r="G369" s="80" t="s">
        <v>2063</v>
      </c>
      <c r="H369" s="78" t="s">
        <v>2066</v>
      </c>
      <c r="I369" s="16" t="s">
        <v>1081</v>
      </c>
      <c r="J369" s="16" t="s">
        <v>1761</v>
      </c>
      <c r="K369" s="5" t="s">
        <v>6</v>
      </c>
      <c r="L369" s="10" t="str">
        <f t="shared" ca="1" si="27"/>
        <v>Calibrado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" hidden="1" customHeight="1">
      <c r="A370" s="21" t="s">
        <v>196</v>
      </c>
      <c r="B370" s="5" t="s">
        <v>1506</v>
      </c>
      <c r="C370" s="35" t="s">
        <v>60</v>
      </c>
      <c r="D370" s="59" t="s">
        <v>69</v>
      </c>
      <c r="E370" s="6">
        <v>45902</v>
      </c>
      <c r="F370" s="91">
        <f t="shared" si="30"/>
        <v>46295</v>
      </c>
      <c r="G370" s="80" t="s">
        <v>2062</v>
      </c>
      <c r="H370" s="80"/>
      <c r="I370" s="16" t="s">
        <v>1439</v>
      </c>
      <c r="J370" s="16"/>
      <c r="K370" s="5" t="s">
        <v>6</v>
      </c>
      <c r="L370" s="10" t="str">
        <f t="shared" ca="1" si="27"/>
        <v>Calibrado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" hidden="1" customHeight="1">
      <c r="A371" s="21" t="s">
        <v>265</v>
      </c>
      <c r="B371" s="5" t="s">
        <v>1506</v>
      </c>
      <c r="C371" s="13" t="s">
        <v>46</v>
      </c>
      <c r="D371" s="9" t="s">
        <v>99</v>
      </c>
      <c r="E371" s="6">
        <v>45997</v>
      </c>
      <c r="F371" s="91">
        <f t="shared" si="30"/>
        <v>46387</v>
      </c>
      <c r="G371" s="78"/>
      <c r="H371" s="78"/>
      <c r="I371" s="16" t="s">
        <v>1611</v>
      </c>
      <c r="J371" s="16"/>
      <c r="K371" s="5" t="s">
        <v>6</v>
      </c>
      <c r="L371" s="10" t="str">
        <f t="shared" ca="1" si="27"/>
        <v>Calibrado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" hidden="1" customHeight="1">
      <c r="A372" s="21" t="s">
        <v>264</v>
      </c>
      <c r="B372" s="5" t="s">
        <v>1506</v>
      </c>
      <c r="C372" s="13" t="s">
        <v>46</v>
      </c>
      <c r="D372" s="9" t="s">
        <v>100</v>
      </c>
      <c r="E372" s="6">
        <v>45962</v>
      </c>
      <c r="F372" s="91">
        <f t="shared" si="30"/>
        <v>46356</v>
      </c>
      <c r="G372" s="78"/>
      <c r="H372" s="78"/>
      <c r="I372" s="16" t="s">
        <v>1556</v>
      </c>
      <c r="J372" s="16"/>
      <c r="K372" s="5" t="s">
        <v>6</v>
      </c>
      <c r="L372" s="10" t="str">
        <f t="shared" ca="1" si="27"/>
        <v>Calibrado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" hidden="1" customHeight="1">
      <c r="A373" s="21" t="s">
        <v>261</v>
      </c>
      <c r="B373" s="5" t="s">
        <v>1506</v>
      </c>
      <c r="C373" s="13" t="s">
        <v>46</v>
      </c>
      <c r="D373" s="9" t="s">
        <v>103</v>
      </c>
      <c r="E373" s="6">
        <v>45931</v>
      </c>
      <c r="F373" s="91">
        <f t="shared" si="30"/>
        <v>46326</v>
      </c>
      <c r="G373" s="86"/>
      <c r="H373" s="78"/>
      <c r="I373" s="16" t="s">
        <v>1488</v>
      </c>
      <c r="J373" s="16"/>
      <c r="K373" s="5" t="s">
        <v>6</v>
      </c>
      <c r="L373" s="10" t="str">
        <f t="shared" ca="1" si="27"/>
        <v>Calibrado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" hidden="1" customHeight="1">
      <c r="A374" s="21" t="s">
        <v>262</v>
      </c>
      <c r="B374" s="5" t="s">
        <v>1506</v>
      </c>
      <c r="C374" s="13" t="s">
        <v>46</v>
      </c>
      <c r="D374" s="9" t="s">
        <v>102</v>
      </c>
      <c r="E374" s="6">
        <v>45931</v>
      </c>
      <c r="F374" s="91">
        <f t="shared" si="30"/>
        <v>46326</v>
      </c>
      <c r="G374" s="86"/>
      <c r="H374" s="78"/>
      <c r="I374" s="16" t="s">
        <v>1489</v>
      </c>
      <c r="J374" s="16"/>
      <c r="K374" s="5" t="s">
        <v>6</v>
      </c>
      <c r="L374" s="10" t="str">
        <f t="shared" ca="1" si="27"/>
        <v>Calibrado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" hidden="1" customHeight="1">
      <c r="A375" s="21" t="s">
        <v>266</v>
      </c>
      <c r="B375" s="5" t="s">
        <v>1506</v>
      </c>
      <c r="C375" s="13" t="s">
        <v>46</v>
      </c>
      <c r="D375" s="9" t="s">
        <v>97</v>
      </c>
      <c r="E375" s="6">
        <v>45878</v>
      </c>
      <c r="F375" s="91">
        <f t="shared" si="30"/>
        <v>46265</v>
      </c>
      <c r="G375" s="78"/>
      <c r="H375" s="78"/>
      <c r="I375" s="16" t="s">
        <v>1395</v>
      </c>
      <c r="J375" s="16"/>
      <c r="K375" s="5" t="s">
        <v>6</v>
      </c>
      <c r="L375" s="10" t="str">
        <f t="shared" ca="1" si="27"/>
        <v>Calibrado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" hidden="1" customHeight="1">
      <c r="A376" s="21" t="s">
        <v>268</v>
      </c>
      <c r="B376" s="5" t="s">
        <v>1506</v>
      </c>
      <c r="C376" s="13" t="s">
        <v>46</v>
      </c>
      <c r="D376" s="9" t="s">
        <v>54</v>
      </c>
      <c r="E376" s="6">
        <v>46083</v>
      </c>
      <c r="F376" s="91">
        <f t="shared" si="30"/>
        <v>46477</v>
      </c>
      <c r="G376" s="80" t="s">
        <v>2062</v>
      </c>
      <c r="H376" s="80"/>
      <c r="I376" s="16" t="s">
        <v>1100</v>
      </c>
      <c r="J376" s="16" t="s">
        <v>1805</v>
      </c>
      <c r="K376" s="5" t="s">
        <v>6</v>
      </c>
      <c r="L376" s="10" t="str">
        <f t="shared" ca="1" si="27"/>
        <v>Calibrado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" hidden="1" customHeight="1">
      <c r="A377" s="21" t="s">
        <v>139</v>
      </c>
      <c r="B377" s="5" t="s">
        <v>1506</v>
      </c>
      <c r="C377" s="13" t="s">
        <v>46</v>
      </c>
      <c r="D377" s="9" t="s">
        <v>90</v>
      </c>
      <c r="E377" s="6">
        <v>46029</v>
      </c>
      <c r="F377" s="91">
        <f t="shared" si="30"/>
        <v>46418</v>
      </c>
      <c r="G377" s="78"/>
      <c r="H377" s="78" t="s">
        <v>2068</v>
      </c>
      <c r="I377" s="16" t="s">
        <v>998</v>
      </c>
      <c r="J377" s="16" t="s">
        <v>1653</v>
      </c>
      <c r="K377" s="5" t="s">
        <v>6</v>
      </c>
      <c r="L377" s="10" t="str">
        <f t="shared" ca="1" si="27"/>
        <v>Calibrado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" hidden="1" customHeight="1">
      <c r="A378" s="21" t="s">
        <v>267</v>
      </c>
      <c r="B378" s="5" t="s">
        <v>1506</v>
      </c>
      <c r="C378" s="13" t="s">
        <v>46</v>
      </c>
      <c r="D378" s="9" t="s">
        <v>95</v>
      </c>
      <c r="E378" s="6">
        <v>46055</v>
      </c>
      <c r="F378" s="91">
        <f t="shared" si="30"/>
        <v>46446</v>
      </c>
      <c r="G378" s="80" t="s">
        <v>2062</v>
      </c>
      <c r="H378" s="78" t="s">
        <v>2066</v>
      </c>
      <c r="I378" s="16" t="s">
        <v>1055</v>
      </c>
      <c r="J378" s="16" t="s">
        <v>1758</v>
      </c>
      <c r="K378" s="5" t="s">
        <v>6</v>
      </c>
      <c r="L378" s="10" t="str">
        <f t="shared" ca="1" si="27"/>
        <v>Calibrado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" hidden="1" customHeight="1">
      <c r="A379" s="21" t="s">
        <v>263</v>
      </c>
      <c r="B379" s="5" t="s">
        <v>1506</v>
      </c>
      <c r="C379" s="13" t="s">
        <v>46</v>
      </c>
      <c r="D379" s="9" t="s">
        <v>101</v>
      </c>
      <c r="E379" s="6">
        <v>45999</v>
      </c>
      <c r="F379" s="91">
        <f t="shared" si="30"/>
        <v>46387</v>
      </c>
      <c r="G379" s="78"/>
      <c r="H379" s="78"/>
      <c r="I379" s="16" t="s">
        <v>1612</v>
      </c>
      <c r="J379" s="16"/>
      <c r="K379" s="5" t="s">
        <v>6</v>
      </c>
      <c r="L379" s="10" t="str">
        <f t="shared" ca="1" si="27"/>
        <v>Calibrado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" hidden="1" customHeight="1">
      <c r="A380" s="21" t="s">
        <v>138</v>
      </c>
      <c r="B380" s="5" t="s">
        <v>1506</v>
      </c>
      <c r="C380" s="13" t="s">
        <v>46</v>
      </c>
      <c r="D380" s="9" t="s">
        <v>507</v>
      </c>
      <c r="E380" s="6">
        <v>46029</v>
      </c>
      <c r="F380" s="91">
        <f t="shared" si="30"/>
        <v>46418</v>
      </c>
      <c r="G380" s="78"/>
      <c r="H380" s="78" t="s">
        <v>2068</v>
      </c>
      <c r="I380" s="16" t="s">
        <v>999</v>
      </c>
      <c r="J380" s="16" t="s">
        <v>1654</v>
      </c>
      <c r="K380" s="5" t="s">
        <v>6</v>
      </c>
      <c r="L380" s="10" t="str">
        <f t="shared" ca="1" si="27"/>
        <v>Calibrado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" hidden="1" customHeight="1">
      <c r="A381" s="21" t="s">
        <v>485</v>
      </c>
      <c r="B381" s="5" t="s">
        <v>1506</v>
      </c>
      <c r="C381" s="22" t="s">
        <v>32</v>
      </c>
      <c r="D381" s="9" t="s">
        <v>818</v>
      </c>
      <c r="E381" s="6">
        <v>45995</v>
      </c>
      <c r="F381" s="91">
        <f t="shared" si="30"/>
        <v>46387</v>
      </c>
      <c r="G381" s="80"/>
      <c r="H381" s="80"/>
      <c r="I381" s="16" t="s">
        <v>1606</v>
      </c>
      <c r="J381" s="16"/>
      <c r="K381" s="5" t="s">
        <v>6</v>
      </c>
      <c r="L381" s="10" t="str">
        <f t="shared" ca="1" si="27"/>
        <v>Calibrado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" hidden="1" customHeight="1">
      <c r="A382" s="21" t="s">
        <v>202</v>
      </c>
      <c r="B382" s="5" t="s">
        <v>1506</v>
      </c>
      <c r="C382" s="13" t="s">
        <v>46</v>
      </c>
      <c r="D382" s="59" t="s">
        <v>510</v>
      </c>
      <c r="E382" s="6">
        <v>46083</v>
      </c>
      <c r="F382" s="91">
        <f t="shared" si="30"/>
        <v>46477</v>
      </c>
      <c r="G382" s="80" t="s">
        <v>2062</v>
      </c>
      <c r="H382" s="80"/>
      <c r="I382" s="16" t="s">
        <v>1101</v>
      </c>
      <c r="J382" s="16" t="s">
        <v>1806</v>
      </c>
      <c r="K382" s="5" t="s">
        <v>6</v>
      </c>
      <c r="L382" s="12" t="str">
        <f t="shared" ca="1" si="27"/>
        <v>Calibrado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" hidden="1" customHeight="1">
      <c r="A383" s="21" t="s">
        <v>137</v>
      </c>
      <c r="B383" s="5" t="s">
        <v>1506</v>
      </c>
      <c r="C383" s="13" t="s">
        <v>46</v>
      </c>
      <c r="D383" s="9" t="s">
        <v>509</v>
      </c>
      <c r="E383" s="6">
        <v>46030</v>
      </c>
      <c r="F383" s="91">
        <f t="shared" si="30"/>
        <v>46418</v>
      </c>
      <c r="G383" s="78"/>
      <c r="H383" s="78" t="s">
        <v>2068</v>
      </c>
      <c r="I383" s="16" t="s">
        <v>1000</v>
      </c>
      <c r="J383" s="16" t="s">
        <v>1655</v>
      </c>
      <c r="K383" s="5" t="s">
        <v>6</v>
      </c>
      <c r="L383" s="10" t="str">
        <f t="shared" ca="1" si="27"/>
        <v>Calibrado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" hidden="1" customHeight="1">
      <c r="A384" s="21" t="s">
        <v>508</v>
      </c>
      <c r="B384" s="5" t="s">
        <v>1506</v>
      </c>
      <c r="C384" s="13" t="s">
        <v>46</v>
      </c>
      <c r="D384" s="9" t="s">
        <v>1001</v>
      </c>
      <c r="E384" s="6">
        <v>46030</v>
      </c>
      <c r="F384" s="91">
        <f t="shared" si="30"/>
        <v>46418</v>
      </c>
      <c r="G384" s="78"/>
      <c r="H384" s="78" t="s">
        <v>2068</v>
      </c>
      <c r="I384" s="16" t="s">
        <v>1002</v>
      </c>
      <c r="J384" s="16" t="s">
        <v>1656</v>
      </c>
      <c r="K384" s="5" t="s">
        <v>6</v>
      </c>
      <c r="L384" s="10" t="str">
        <f t="shared" ca="1" si="27"/>
        <v>Calibrado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" hidden="1" customHeight="1">
      <c r="A385" s="21" t="s">
        <v>260</v>
      </c>
      <c r="B385" s="5" t="s">
        <v>1506</v>
      </c>
      <c r="C385" s="13" t="s">
        <v>46</v>
      </c>
      <c r="D385" s="9" t="s">
        <v>55</v>
      </c>
      <c r="E385" s="6">
        <v>46197</v>
      </c>
      <c r="F385" s="91">
        <f t="shared" si="30"/>
        <v>46568</v>
      </c>
      <c r="G385" s="80" t="s">
        <v>2062</v>
      </c>
      <c r="H385" s="80"/>
      <c r="I385" s="16" t="s">
        <v>1289</v>
      </c>
      <c r="J385" s="16" t="s">
        <v>2036</v>
      </c>
      <c r="K385" s="5" t="s">
        <v>6</v>
      </c>
      <c r="L385" s="10" t="str">
        <f t="shared" ca="1" si="27"/>
        <v>Calibrado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" hidden="1" customHeight="1">
      <c r="A386" s="21" t="s">
        <v>257</v>
      </c>
      <c r="B386" s="5" t="s">
        <v>1506</v>
      </c>
      <c r="C386" s="13" t="s">
        <v>46</v>
      </c>
      <c r="D386" s="9" t="s">
        <v>58</v>
      </c>
      <c r="E386" s="6">
        <v>45932</v>
      </c>
      <c r="F386" s="91">
        <f t="shared" si="30"/>
        <v>46326</v>
      </c>
      <c r="G386" s="80" t="s">
        <v>2062</v>
      </c>
      <c r="H386" s="80"/>
      <c r="I386" s="16" t="s">
        <v>1490</v>
      </c>
      <c r="J386" s="16"/>
      <c r="K386" s="5" t="s">
        <v>6</v>
      </c>
      <c r="L386" s="10" t="str">
        <f t="shared" ca="1" si="27"/>
        <v>Calibrado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" hidden="1" customHeight="1">
      <c r="A387" s="21" t="s">
        <v>304</v>
      </c>
      <c r="B387" s="5" t="s">
        <v>1506</v>
      </c>
      <c r="C387" s="25" t="s">
        <v>56</v>
      </c>
      <c r="D387" s="9" t="s">
        <v>499</v>
      </c>
      <c r="E387" s="6">
        <v>45905</v>
      </c>
      <c r="F387" s="91">
        <f>EOMONTH(E387,12)</f>
        <v>46295</v>
      </c>
      <c r="G387" s="80" t="s">
        <v>2062</v>
      </c>
      <c r="H387" s="80"/>
      <c r="I387" s="16" t="s">
        <v>1447</v>
      </c>
      <c r="J387" s="16"/>
      <c r="K387" s="5" t="s">
        <v>6</v>
      </c>
      <c r="L387" s="10" t="str">
        <f t="shared" ref="L387:L450" ca="1" si="31">IF(K387="TERCEIRO","TERCEIRO",IF(K387="EM MODIF.","EM MODIF.",IF(K387="INATIVO","INATIVO",IF($E387="","Desenvolvimento",IF($F387&lt;$M$1,"Atrasado","Calibrado")))))</f>
        <v>Calibrado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" hidden="1" customHeight="1">
      <c r="A388" s="21" t="s">
        <v>500</v>
      </c>
      <c r="B388" s="5" t="s">
        <v>1506</v>
      </c>
      <c r="C388" s="25" t="s">
        <v>56</v>
      </c>
      <c r="D388" s="9" t="s">
        <v>501</v>
      </c>
      <c r="E388" s="6">
        <v>45906</v>
      </c>
      <c r="F388" s="91">
        <f>EOMONTH(E388,12)</f>
        <v>46295</v>
      </c>
      <c r="G388" s="80" t="s">
        <v>2062</v>
      </c>
      <c r="H388" s="80"/>
      <c r="I388" s="16" t="s">
        <v>1448</v>
      </c>
      <c r="J388" s="16"/>
      <c r="K388" s="4" t="s">
        <v>6</v>
      </c>
      <c r="L388" s="10" t="str">
        <f t="shared" ca="1" si="31"/>
        <v>Calibrado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" hidden="1" customHeight="1">
      <c r="A389" s="21" t="s">
        <v>497</v>
      </c>
      <c r="B389" s="5" t="s">
        <v>1506</v>
      </c>
      <c r="C389" s="23" t="s">
        <v>39</v>
      </c>
      <c r="D389" s="59" t="s">
        <v>495</v>
      </c>
      <c r="E389" s="6">
        <v>45996</v>
      </c>
      <c r="F389" s="91">
        <f>EOMONTH(E389,12)</f>
        <v>46387</v>
      </c>
      <c r="G389" s="80"/>
      <c r="H389" s="80"/>
      <c r="I389" s="16" t="s">
        <v>1609</v>
      </c>
      <c r="J389" s="16"/>
      <c r="K389" s="5" t="s">
        <v>6</v>
      </c>
      <c r="L389" s="10" t="str">
        <f t="shared" ca="1" si="31"/>
        <v>Calibrado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" hidden="1" customHeight="1">
      <c r="A390" s="21" t="s">
        <v>385</v>
      </c>
      <c r="B390" s="5" t="s">
        <v>1506</v>
      </c>
      <c r="C390" s="23" t="s">
        <v>39</v>
      </c>
      <c r="D390" s="59" t="s">
        <v>496</v>
      </c>
      <c r="E390" s="6">
        <v>45996</v>
      </c>
      <c r="F390" s="91">
        <f>EOMONTH(E390,12)</f>
        <v>46387</v>
      </c>
      <c r="G390" s="80"/>
      <c r="H390" s="80"/>
      <c r="I390" s="16" t="s">
        <v>1610</v>
      </c>
      <c r="J390" s="16"/>
      <c r="K390" s="5" t="s">
        <v>6</v>
      </c>
      <c r="L390" s="10" t="str">
        <f t="shared" ca="1" si="31"/>
        <v>Calibrado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" hidden="1" customHeight="1">
      <c r="A391" s="21" t="s">
        <v>784</v>
      </c>
      <c r="B391" s="5" t="s">
        <v>1506</v>
      </c>
      <c r="C391" s="13" t="s">
        <v>46</v>
      </c>
      <c r="D391" s="9" t="s">
        <v>785</v>
      </c>
      <c r="E391" s="6">
        <v>45904</v>
      </c>
      <c r="F391" s="91">
        <f>EOMONTH(E391,12)</f>
        <v>46295</v>
      </c>
      <c r="G391" s="80" t="s">
        <v>2062</v>
      </c>
      <c r="H391" s="80"/>
      <c r="I391" s="16" t="s">
        <v>1444</v>
      </c>
      <c r="J391" s="16"/>
      <c r="K391" s="4" t="s">
        <v>6</v>
      </c>
      <c r="L391" s="10" t="str">
        <f t="shared" ca="1" si="31"/>
        <v>Calibrado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" hidden="1" customHeight="1">
      <c r="A392" s="20" t="s">
        <v>246</v>
      </c>
      <c r="B392" s="5" t="s">
        <v>1506</v>
      </c>
      <c r="C392" s="22" t="s">
        <v>32</v>
      </c>
      <c r="D392" s="9" t="s">
        <v>819</v>
      </c>
      <c r="E392" s="6">
        <v>46102</v>
      </c>
      <c r="F392" s="91">
        <f t="shared" ref="F392:F398" si="32">EOMONTH(E392,12)</f>
        <v>46477</v>
      </c>
      <c r="G392" s="80" t="s">
        <v>2062</v>
      </c>
      <c r="H392" s="80"/>
      <c r="I392" s="16" t="s">
        <v>1114</v>
      </c>
      <c r="J392" s="16" t="s">
        <v>1835</v>
      </c>
      <c r="K392" s="5" t="s">
        <v>6</v>
      </c>
      <c r="L392" s="10" t="str">
        <f t="shared" ca="1" si="31"/>
        <v>Calibrado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" hidden="1" customHeight="1">
      <c r="A393" s="20" t="s">
        <v>886</v>
      </c>
      <c r="B393" s="5" t="s">
        <v>1506</v>
      </c>
      <c r="C393" s="22" t="s">
        <v>32</v>
      </c>
      <c r="D393" s="9" t="s">
        <v>820</v>
      </c>
      <c r="E393" s="6">
        <v>45975</v>
      </c>
      <c r="F393" s="91">
        <f t="shared" si="32"/>
        <v>46356</v>
      </c>
      <c r="G393" s="80"/>
      <c r="H393" s="80"/>
      <c r="I393" s="16" t="s">
        <v>1575</v>
      </c>
      <c r="J393" s="16"/>
      <c r="K393" s="5" t="s">
        <v>6</v>
      </c>
      <c r="L393" s="10" t="str">
        <f t="shared" ca="1" si="31"/>
        <v>Calibrado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" hidden="1" customHeight="1">
      <c r="A394" s="20" t="s">
        <v>114</v>
      </c>
      <c r="B394" s="5" t="s">
        <v>1506</v>
      </c>
      <c r="C394" s="22" t="s">
        <v>32</v>
      </c>
      <c r="D394" s="9" t="s">
        <v>63</v>
      </c>
      <c r="E394" s="6">
        <v>46102</v>
      </c>
      <c r="F394" s="91">
        <f t="shared" si="32"/>
        <v>46477</v>
      </c>
      <c r="G394" s="80" t="s">
        <v>2062</v>
      </c>
      <c r="H394" s="80"/>
      <c r="I394" s="16" t="s">
        <v>1117</v>
      </c>
      <c r="J394" s="16" t="s">
        <v>1836</v>
      </c>
      <c r="K394" s="5" t="s">
        <v>6</v>
      </c>
      <c r="L394" s="10" t="str">
        <f t="shared" ca="1" si="31"/>
        <v>Calibrado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" hidden="1" customHeight="1">
      <c r="A395" s="21" t="s">
        <v>204</v>
      </c>
      <c r="B395" s="5" t="s">
        <v>1506</v>
      </c>
      <c r="C395" s="29" t="s">
        <v>59</v>
      </c>
      <c r="D395" s="59" t="s">
        <v>980</v>
      </c>
      <c r="E395" s="6">
        <v>45910</v>
      </c>
      <c r="F395" s="91">
        <f t="shared" si="32"/>
        <v>46295</v>
      </c>
      <c r="G395" s="80" t="s">
        <v>2062</v>
      </c>
      <c r="H395" s="80"/>
      <c r="I395" s="60" t="s">
        <v>1455</v>
      </c>
      <c r="J395" s="60"/>
      <c r="K395" s="5" t="s">
        <v>6</v>
      </c>
      <c r="L395" s="10" t="str">
        <f t="shared" ca="1" si="31"/>
        <v>Calibrado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" hidden="1" customHeight="1">
      <c r="A396" s="21" t="s">
        <v>203</v>
      </c>
      <c r="B396" s="5" t="s">
        <v>1506</v>
      </c>
      <c r="C396" s="29" t="s">
        <v>59</v>
      </c>
      <c r="D396" s="59" t="s">
        <v>981</v>
      </c>
      <c r="E396" s="6">
        <v>45910</v>
      </c>
      <c r="F396" s="91">
        <f t="shared" si="32"/>
        <v>46295</v>
      </c>
      <c r="G396" s="80" t="s">
        <v>2062</v>
      </c>
      <c r="H396" s="80"/>
      <c r="I396" s="16" t="s">
        <v>1456</v>
      </c>
      <c r="J396" s="16"/>
      <c r="K396" s="5" t="s">
        <v>6</v>
      </c>
      <c r="L396" s="10" t="str">
        <f t="shared" ca="1" si="31"/>
        <v>Calibrado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" hidden="1" customHeight="1">
      <c r="A397" s="21" t="s">
        <v>431</v>
      </c>
      <c r="B397" s="5" t="s">
        <v>1506</v>
      </c>
      <c r="C397" s="22" t="s">
        <v>32</v>
      </c>
      <c r="D397" s="9" t="s">
        <v>821</v>
      </c>
      <c r="E397" s="6">
        <v>46184</v>
      </c>
      <c r="F397" s="91">
        <f t="shared" si="32"/>
        <v>46568</v>
      </c>
      <c r="G397" s="80" t="s">
        <v>2063</v>
      </c>
      <c r="H397" s="80"/>
      <c r="I397" s="16" t="s">
        <v>1330</v>
      </c>
      <c r="J397" s="16" t="s">
        <v>2007</v>
      </c>
      <c r="K397" s="5" t="s">
        <v>6</v>
      </c>
      <c r="L397" s="10" t="str">
        <f t="shared" ca="1" si="31"/>
        <v>Calibrado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" hidden="1" customHeight="1">
      <c r="A398" s="20" t="s">
        <v>116</v>
      </c>
      <c r="B398" s="5" t="s">
        <v>1506</v>
      </c>
      <c r="C398" s="22" t="s">
        <v>32</v>
      </c>
      <c r="D398" s="9" t="s">
        <v>822</v>
      </c>
      <c r="E398" s="6">
        <v>45995</v>
      </c>
      <c r="F398" s="91">
        <f t="shared" si="32"/>
        <v>46387</v>
      </c>
      <c r="G398" s="80"/>
      <c r="H398" s="80"/>
      <c r="I398" s="16" t="s">
        <v>1607</v>
      </c>
      <c r="J398" s="16"/>
      <c r="K398" s="5" t="s">
        <v>6</v>
      </c>
      <c r="L398" s="10" t="str">
        <f t="shared" ca="1" si="31"/>
        <v>Calibrado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" hidden="1" customHeight="1">
      <c r="A399" s="21">
        <v>1299</v>
      </c>
      <c r="B399" s="5" t="s">
        <v>1506</v>
      </c>
      <c r="C399" s="22" t="s">
        <v>32</v>
      </c>
      <c r="D399" s="9" t="s">
        <v>825</v>
      </c>
      <c r="E399" s="6">
        <v>46128</v>
      </c>
      <c r="F399" s="91">
        <f t="shared" ref="F399:F410" si="33">EOMONTH(E399,12)</f>
        <v>46507</v>
      </c>
      <c r="G399" s="78"/>
      <c r="H399" s="78"/>
      <c r="I399" s="16" t="s">
        <v>1187</v>
      </c>
      <c r="J399" s="16" t="s">
        <v>1893</v>
      </c>
      <c r="K399" s="4" t="s">
        <v>6</v>
      </c>
      <c r="L399" s="10" t="str">
        <f t="shared" ca="1" si="31"/>
        <v>Calibrado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" hidden="1" customHeight="1">
      <c r="A400" s="21">
        <v>1300</v>
      </c>
      <c r="B400" s="5" t="s">
        <v>1506</v>
      </c>
      <c r="C400" s="22" t="s">
        <v>32</v>
      </c>
      <c r="D400" s="9" t="s">
        <v>823</v>
      </c>
      <c r="E400" s="6">
        <v>46128</v>
      </c>
      <c r="F400" s="91">
        <f t="shared" si="33"/>
        <v>46507</v>
      </c>
      <c r="G400" s="78"/>
      <c r="H400" s="78"/>
      <c r="I400" s="16" t="s">
        <v>1188</v>
      </c>
      <c r="J400" s="16" t="s">
        <v>1894</v>
      </c>
      <c r="K400" s="4" t="s">
        <v>6</v>
      </c>
      <c r="L400" s="10" t="str">
        <f t="shared" ca="1" si="31"/>
        <v>Calibrado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" hidden="1" customHeight="1">
      <c r="A401" s="21">
        <v>1301</v>
      </c>
      <c r="B401" s="5" t="s">
        <v>1506</v>
      </c>
      <c r="C401" s="22" t="s">
        <v>32</v>
      </c>
      <c r="D401" s="9" t="s">
        <v>824</v>
      </c>
      <c r="E401" s="6">
        <v>46129</v>
      </c>
      <c r="F401" s="91">
        <f t="shared" si="33"/>
        <v>46507</v>
      </c>
      <c r="G401" s="78"/>
      <c r="H401" s="78"/>
      <c r="I401" s="16" t="s">
        <v>1189</v>
      </c>
      <c r="J401" s="16" t="s">
        <v>1895</v>
      </c>
      <c r="K401" s="4" t="s">
        <v>6</v>
      </c>
      <c r="L401" s="10" t="str">
        <f t="shared" ca="1" si="31"/>
        <v>Calibrado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" hidden="1" customHeight="1">
      <c r="A402" s="21" t="s">
        <v>291</v>
      </c>
      <c r="B402" s="5" t="s">
        <v>1506</v>
      </c>
      <c r="C402" s="22" t="s">
        <v>32</v>
      </c>
      <c r="D402" s="9" t="s">
        <v>1418</v>
      </c>
      <c r="E402" s="6">
        <v>45891</v>
      </c>
      <c r="F402" s="91">
        <f t="shared" si="33"/>
        <v>46265</v>
      </c>
      <c r="G402" s="80"/>
      <c r="H402" s="80"/>
      <c r="I402" s="16" t="s">
        <v>1417</v>
      </c>
      <c r="J402" s="16"/>
      <c r="K402" s="5" t="s">
        <v>6</v>
      </c>
      <c r="L402" s="10" t="str">
        <f t="shared" ca="1" si="31"/>
        <v>Calibrado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" hidden="1" customHeight="1">
      <c r="A403" s="21">
        <v>1303</v>
      </c>
      <c r="B403" s="5" t="s">
        <v>1506</v>
      </c>
      <c r="C403" s="31" t="s">
        <v>34</v>
      </c>
      <c r="D403" s="9" t="s">
        <v>581</v>
      </c>
      <c r="E403" s="6">
        <v>45913</v>
      </c>
      <c r="F403" s="91">
        <f t="shared" si="33"/>
        <v>46295</v>
      </c>
      <c r="G403" s="80" t="s">
        <v>2062</v>
      </c>
      <c r="H403" s="80"/>
      <c r="I403" s="16" t="s">
        <v>1463</v>
      </c>
      <c r="J403" s="16"/>
      <c r="K403" s="4" t="s">
        <v>6</v>
      </c>
      <c r="L403" s="10" t="str">
        <f t="shared" ca="1" si="31"/>
        <v>Calibrado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" hidden="1" customHeight="1">
      <c r="A404" s="21">
        <v>1304</v>
      </c>
      <c r="B404" s="5" t="s">
        <v>1506</v>
      </c>
      <c r="C404" s="31" t="s">
        <v>34</v>
      </c>
      <c r="D404" s="9" t="s">
        <v>582</v>
      </c>
      <c r="E404" s="6">
        <v>45915</v>
      </c>
      <c r="F404" s="91">
        <f t="shared" si="33"/>
        <v>46295</v>
      </c>
      <c r="G404" s="80" t="s">
        <v>2062</v>
      </c>
      <c r="H404" s="80"/>
      <c r="I404" s="16" t="s">
        <v>1464</v>
      </c>
      <c r="J404" s="16"/>
      <c r="K404" s="4" t="s">
        <v>6</v>
      </c>
      <c r="L404" s="10" t="str">
        <f t="shared" ca="1" si="31"/>
        <v>Calibrado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" hidden="1" customHeight="1">
      <c r="A405" s="21">
        <v>1305</v>
      </c>
      <c r="B405" s="5" t="s">
        <v>1506</v>
      </c>
      <c r="C405" s="31" t="s">
        <v>34</v>
      </c>
      <c r="D405" s="9" t="s">
        <v>583</v>
      </c>
      <c r="E405" s="6">
        <v>45915</v>
      </c>
      <c r="F405" s="91">
        <f t="shared" si="33"/>
        <v>46295</v>
      </c>
      <c r="G405" s="80" t="s">
        <v>2062</v>
      </c>
      <c r="H405" s="80"/>
      <c r="I405" s="16" t="s">
        <v>1465</v>
      </c>
      <c r="J405" s="16"/>
      <c r="K405" s="4" t="s">
        <v>6</v>
      </c>
      <c r="L405" s="10" t="str">
        <f t="shared" ca="1" si="31"/>
        <v>Calibrado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" hidden="1" customHeight="1">
      <c r="A406" s="21">
        <v>1306</v>
      </c>
      <c r="B406" s="5" t="s">
        <v>1506</v>
      </c>
      <c r="C406" s="31" t="s">
        <v>34</v>
      </c>
      <c r="D406" s="9" t="s">
        <v>584</v>
      </c>
      <c r="E406" s="6">
        <v>45945</v>
      </c>
      <c r="F406" s="91">
        <f t="shared" si="33"/>
        <v>46326</v>
      </c>
      <c r="G406" s="80" t="s">
        <v>2062</v>
      </c>
      <c r="H406" s="78"/>
      <c r="I406" s="16" t="s">
        <v>1515</v>
      </c>
      <c r="J406" s="16"/>
      <c r="K406" s="4" t="s">
        <v>6</v>
      </c>
      <c r="L406" s="10" t="str">
        <f t="shared" ca="1" si="31"/>
        <v>Calibrado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" hidden="1" customHeight="1">
      <c r="A407" s="21">
        <v>1307</v>
      </c>
      <c r="B407" s="5" t="s">
        <v>1506</v>
      </c>
      <c r="C407" s="31" t="s">
        <v>34</v>
      </c>
      <c r="D407" s="9" t="s">
        <v>585</v>
      </c>
      <c r="E407" s="6">
        <v>45945</v>
      </c>
      <c r="F407" s="91">
        <f t="shared" si="33"/>
        <v>46326</v>
      </c>
      <c r="G407" s="80" t="s">
        <v>2062</v>
      </c>
      <c r="H407" s="78"/>
      <c r="I407" s="16" t="s">
        <v>1516</v>
      </c>
      <c r="J407" s="16"/>
      <c r="K407" s="4" t="s">
        <v>6</v>
      </c>
      <c r="L407" s="10" t="str">
        <f t="shared" ca="1" si="31"/>
        <v>Calibrado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" hidden="1" customHeight="1">
      <c r="A408" s="21">
        <v>1308</v>
      </c>
      <c r="B408" s="5" t="s">
        <v>1506</v>
      </c>
      <c r="C408" s="31" t="s">
        <v>34</v>
      </c>
      <c r="D408" s="9" t="s">
        <v>586</v>
      </c>
      <c r="E408" s="6">
        <v>45945</v>
      </c>
      <c r="F408" s="91">
        <f t="shared" si="33"/>
        <v>46326</v>
      </c>
      <c r="G408" s="80" t="s">
        <v>2062</v>
      </c>
      <c r="H408" s="78"/>
      <c r="I408" s="16" t="s">
        <v>1517</v>
      </c>
      <c r="J408" s="16"/>
      <c r="K408" s="4" t="s">
        <v>6</v>
      </c>
      <c r="L408" s="10" t="str">
        <f t="shared" ca="1" si="31"/>
        <v>Calibrado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" hidden="1" customHeight="1">
      <c r="A409" s="21">
        <v>1309</v>
      </c>
      <c r="B409" s="5" t="s">
        <v>1506</v>
      </c>
      <c r="C409" s="31" t="s">
        <v>34</v>
      </c>
      <c r="D409" s="9" t="s">
        <v>587</v>
      </c>
      <c r="E409" s="6">
        <v>45946</v>
      </c>
      <c r="F409" s="91">
        <f t="shared" si="33"/>
        <v>46326</v>
      </c>
      <c r="G409" s="80" t="s">
        <v>2062</v>
      </c>
      <c r="H409" s="78"/>
      <c r="I409" s="16" t="s">
        <v>1518</v>
      </c>
      <c r="J409" s="16"/>
      <c r="K409" s="4" t="s">
        <v>6</v>
      </c>
      <c r="L409" s="10" t="str">
        <f t="shared" ca="1" si="31"/>
        <v>Calibrado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" hidden="1" customHeight="1">
      <c r="A410" s="21" t="s">
        <v>1443</v>
      </c>
      <c r="B410" s="5" t="s">
        <v>1506</v>
      </c>
      <c r="C410" s="31" t="s">
        <v>34</v>
      </c>
      <c r="D410" s="9" t="s">
        <v>588</v>
      </c>
      <c r="E410" s="6">
        <v>45946</v>
      </c>
      <c r="F410" s="91">
        <f t="shared" si="33"/>
        <v>46326</v>
      </c>
      <c r="G410" s="80" t="s">
        <v>2062</v>
      </c>
      <c r="H410" s="78"/>
      <c r="I410" s="16" t="s">
        <v>1519</v>
      </c>
      <c r="J410" s="16"/>
      <c r="K410" s="4" t="s">
        <v>6</v>
      </c>
      <c r="L410" s="10" t="str">
        <f t="shared" ca="1" si="31"/>
        <v>Calibrado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" hidden="1" customHeight="1">
      <c r="A411" s="21">
        <v>1311</v>
      </c>
      <c r="B411" s="5" t="s">
        <v>1506</v>
      </c>
      <c r="C411" s="31" t="s">
        <v>34</v>
      </c>
      <c r="D411" s="9" t="s">
        <v>589</v>
      </c>
      <c r="E411" s="6">
        <v>45946</v>
      </c>
      <c r="F411" s="91">
        <f>EOMONTH(E411,12)</f>
        <v>46326</v>
      </c>
      <c r="G411" s="80" t="s">
        <v>2062</v>
      </c>
      <c r="H411" s="78"/>
      <c r="I411" s="16" t="s">
        <v>1520</v>
      </c>
      <c r="J411" s="16"/>
      <c r="K411" s="4" t="s">
        <v>6</v>
      </c>
      <c r="L411" s="10" t="str">
        <f t="shared" ca="1" si="31"/>
        <v>Calibrado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" hidden="1" customHeight="1">
      <c r="A412" s="21">
        <v>1312</v>
      </c>
      <c r="B412" s="5" t="s">
        <v>1506</v>
      </c>
      <c r="C412" s="31" t="s">
        <v>34</v>
      </c>
      <c r="D412" s="9" t="s">
        <v>590</v>
      </c>
      <c r="E412" s="6">
        <v>45967</v>
      </c>
      <c r="F412" s="91">
        <f>EOMONTH(E412,12)</f>
        <v>46356</v>
      </c>
      <c r="G412" s="78"/>
      <c r="H412" s="78"/>
      <c r="I412" s="16" t="s">
        <v>1563</v>
      </c>
      <c r="J412" s="16"/>
      <c r="K412" s="4" t="s">
        <v>6</v>
      </c>
      <c r="L412" s="10" t="str">
        <f t="shared" ca="1" si="31"/>
        <v>Calibrado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" hidden="1" customHeight="1">
      <c r="A413" s="21">
        <v>1313</v>
      </c>
      <c r="B413" s="5" t="s">
        <v>1506</v>
      </c>
      <c r="C413" s="31" t="s">
        <v>34</v>
      </c>
      <c r="D413" s="9" t="s">
        <v>591</v>
      </c>
      <c r="E413" s="6">
        <v>45947</v>
      </c>
      <c r="F413" s="91">
        <f>EOMONTH(E413,12)</f>
        <v>46326</v>
      </c>
      <c r="G413" s="80" t="s">
        <v>2062</v>
      </c>
      <c r="H413" s="78"/>
      <c r="I413" s="16" t="s">
        <v>1521</v>
      </c>
      <c r="J413" s="16"/>
      <c r="K413" s="4" t="s">
        <v>6</v>
      </c>
      <c r="L413" s="10" t="str">
        <f t="shared" ca="1" si="31"/>
        <v>Calibrado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" hidden="1" customHeight="1">
      <c r="A414" s="21">
        <v>1314</v>
      </c>
      <c r="B414" s="5" t="s">
        <v>1506</v>
      </c>
      <c r="C414" s="31" t="s">
        <v>34</v>
      </c>
      <c r="D414" s="9" t="s">
        <v>592</v>
      </c>
      <c r="E414" s="6">
        <v>45947</v>
      </c>
      <c r="F414" s="91">
        <f>EOMONTH(E414,12)</f>
        <v>46326</v>
      </c>
      <c r="G414" s="80" t="s">
        <v>2062</v>
      </c>
      <c r="H414" s="78"/>
      <c r="I414" s="16" t="s">
        <v>1522</v>
      </c>
      <c r="J414" s="16"/>
      <c r="K414" s="4" t="s">
        <v>6</v>
      </c>
      <c r="L414" s="10" t="str">
        <f t="shared" ca="1" si="31"/>
        <v>Calibrado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" hidden="1" customHeight="1">
      <c r="A415" s="21" t="s">
        <v>256</v>
      </c>
      <c r="B415" s="5" t="s">
        <v>1506</v>
      </c>
      <c r="C415" s="13" t="s">
        <v>46</v>
      </c>
      <c r="D415" s="9" t="s">
        <v>511</v>
      </c>
      <c r="E415" s="6">
        <v>45999</v>
      </c>
      <c r="F415" s="91">
        <f t="shared" ref="F415:F421" si="34">EOMONTH(E415,12)</f>
        <v>46387</v>
      </c>
      <c r="G415" s="80"/>
      <c r="H415" s="80"/>
      <c r="I415" s="16" t="s">
        <v>1613</v>
      </c>
      <c r="J415" s="16"/>
      <c r="K415" s="5" t="s">
        <v>6</v>
      </c>
      <c r="L415" s="10" t="str">
        <f t="shared" ca="1" si="31"/>
        <v>Calibrado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" hidden="1" customHeight="1">
      <c r="A416" s="21" t="s">
        <v>826</v>
      </c>
      <c r="B416" s="5" t="s">
        <v>1506</v>
      </c>
      <c r="C416" s="22" t="s">
        <v>32</v>
      </c>
      <c r="D416" s="8" t="s">
        <v>827</v>
      </c>
      <c r="E416" s="6">
        <v>45996</v>
      </c>
      <c r="F416" s="91">
        <f t="shared" si="34"/>
        <v>46387</v>
      </c>
      <c r="G416" s="78"/>
      <c r="H416" s="78"/>
      <c r="I416" s="16" t="s">
        <v>1608</v>
      </c>
      <c r="J416" s="16"/>
      <c r="K416" s="4" t="s">
        <v>6</v>
      </c>
      <c r="L416" s="10" t="str">
        <f t="shared" ca="1" si="31"/>
        <v>Calibrado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" hidden="1" customHeight="1">
      <c r="A417" s="20" t="s">
        <v>113</v>
      </c>
      <c r="B417" s="5" t="s">
        <v>1506</v>
      </c>
      <c r="C417" s="22" t="s">
        <v>32</v>
      </c>
      <c r="D417" s="9" t="s">
        <v>1421</v>
      </c>
      <c r="E417" s="6">
        <v>45892</v>
      </c>
      <c r="F417" s="91">
        <f t="shared" si="34"/>
        <v>46265</v>
      </c>
      <c r="G417" s="80"/>
      <c r="H417" s="80"/>
      <c r="I417" s="16" t="s">
        <v>1419</v>
      </c>
      <c r="J417" s="16"/>
      <c r="K417" s="5" t="s">
        <v>6</v>
      </c>
      <c r="L417" s="10" t="str">
        <f t="shared" ca="1" si="31"/>
        <v>Calibrado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" hidden="1" customHeight="1">
      <c r="A418" s="21">
        <v>1318</v>
      </c>
      <c r="B418" s="5" t="s">
        <v>1506</v>
      </c>
      <c r="C418" s="22" t="s">
        <v>32</v>
      </c>
      <c r="D418" s="8" t="s">
        <v>828</v>
      </c>
      <c r="E418" s="6">
        <v>45943</v>
      </c>
      <c r="F418" s="91">
        <f t="shared" si="34"/>
        <v>46326</v>
      </c>
      <c r="G418" s="80" t="s">
        <v>2062</v>
      </c>
      <c r="H418" s="78"/>
      <c r="I418" s="16" t="s">
        <v>1510</v>
      </c>
      <c r="J418" s="16"/>
      <c r="K418" s="4" t="s">
        <v>6</v>
      </c>
      <c r="L418" s="10" t="str">
        <f t="shared" ca="1" si="31"/>
        <v>Calibrado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" hidden="1" customHeight="1">
      <c r="A419" s="21">
        <v>1319</v>
      </c>
      <c r="B419" s="5" t="s">
        <v>1506</v>
      </c>
      <c r="C419" s="22" t="s">
        <v>32</v>
      </c>
      <c r="D419" s="8" t="s">
        <v>829</v>
      </c>
      <c r="E419" s="6">
        <v>45943</v>
      </c>
      <c r="F419" s="91">
        <f t="shared" si="34"/>
        <v>46326</v>
      </c>
      <c r="G419" s="80" t="s">
        <v>2062</v>
      </c>
      <c r="H419" s="78"/>
      <c r="I419" s="16" t="s">
        <v>1511</v>
      </c>
      <c r="J419" s="16"/>
      <c r="K419" s="4" t="s">
        <v>6</v>
      </c>
      <c r="L419" s="10" t="str">
        <f t="shared" ca="1" si="31"/>
        <v>Calibrado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" hidden="1" customHeight="1">
      <c r="A420" s="21">
        <v>1320</v>
      </c>
      <c r="B420" s="5" t="s">
        <v>1506</v>
      </c>
      <c r="C420" s="22" t="s">
        <v>32</v>
      </c>
      <c r="D420" s="9" t="s">
        <v>830</v>
      </c>
      <c r="E420" s="6">
        <v>46129</v>
      </c>
      <c r="F420" s="91">
        <f t="shared" si="34"/>
        <v>46507</v>
      </c>
      <c r="G420" s="78"/>
      <c r="H420" s="78"/>
      <c r="I420" s="16" t="s">
        <v>1190</v>
      </c>
      <c r="J420" s="16" t="s">
        <v>1896</v>
      </c>
      <c r="K420" s="4" t="s">
        <v>6</v>
      </c>
      <c r="L420" s="10" t="str">
        <f t="shared" ca="1" si="31"/>
        <v>Calibrado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" hidden="1" customHeight="1">
      <c r="A421" s="21">
        <v>1321</v>
      </c>
      <c r="B421" s="5" t="s">
        <v>1506</v>
      </c>
      <c r="C421" s="22" t="s">
        <v>32</v>
      </c>
      <c r="D421" s="9" t="s">
        <v>831</v>
      </c>
      <c r="E421" s="6">
        <v>46129</v>
      </c>
      <c r="F421" s="91">
        <f t="shared" si="34"/>
        <v>46507</v>
      </c>
      <c r="G421" s="78"/>
      <c r="H421" s="78"/>
      <c r="I421" s="16" t="s">
        <v>1191</v>
      </c>
      <c r="J421" s="16" t="s">
        <v>1897</v>
      </c>
      <c r="K421" s="4" t="s">
        <v>6</v>
      </c>
      <c r="L421" s="10" t="str">
        <f t="shared" ca="1" si="31"/>
        <v>Calibrado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" hidden="1" customHeight="1">
      <c r="A422" s="21">
        <v>1322</v>
      </c>
      <c r="B422" s="5" t="s">
        <v>1506</v>
      </c>
      <c r="C422" s="22" t="s">
        <v>32</v>
      </c>
      <c r="D422" s="9" t="s">
        <v>832</v>
      </c>
      <c r="E422" s="6">
        <v>46130</v>
      </c>
      <c r="F422" s="91">
        <f>EOMONTH(E422,12)</f>
        <v>46507</v>
      </c>
      <c r="G422" s="78"/>
      <c r="H422" s="78"/>
      <c r="I422" s="16" t="s">
        <v>1192</v>
      </c>
      <c r="J422" s="16" t="s">
        <v>1898</v>
      </c>
      <c r="K422" s="4" t="s">
        <v>6</v>
      </c>
      <c r="L422" s="10" t="str">
        <f t="shared" ca="1" si="31"/>
        <v>Calibrado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" hidden="1" customHeight="1">
      <c r="A423" s="21">
        <v>1323</v>
      </c>
      <c r="B423" s="5" t="s">
        <v>1506</v>
      </c>
      <c r="C423" s="22" t="s">
        <v>32</v>
      </c>
      <c r="D423" s="9" t="s">
        <v>833</v>
      </c>
      <c r="E423" s="6">
        <v>46130</v>
      </c>
      <c r="F423" s="91">
        <f>EOMONTH(E423,12)</f>
        <v>46507</v>
      </c>
      <c r="G423" s="78"/>
      <c r="H423" s="78"/>
      <c r="I423" s="16" t="s">
        <v>1193</v>
      </c>
      <c r="J423" s="16" t="s">
        <v>1899</v>
      </c>
      <c r="K423" s="4" t="s">
        <v>6</v>
      </c>
      <c r="L423" s="10" t="str">
        <f t="shared" ca="1" si="31"/>
        <v>Calibrado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" hidden="1" customHeight="1">
      <c r="A424" s="21">
        <v>1324</v>
      </c>
      <c r="B424" s="5" t="s">
        <v>1506</v>
      </c>
      <c r="C424" s="22" t="s">
        <v>32</v>
      </c>
      <c r="D424" s="9" t="s">
        <v>834</v>
      </c>
      <c r="E424" s="6">
        <v>46130</v>
      </c>
      <c r="F424" s="91">
        <f>EOMONTH(E424,12)</f>
        <v>46507</v>
      </c>
      <c r="G424" s="78"/>
      <c r="H424" s="78"/>
      <c r="I424" s="16" t="s">
        <v>1196</v>
      </c>
      <c r="J424" s="16" t="s">
        <v>1900</v>
      </c>
      <c r="K424" s="4" t="s">
        <v>6</v>
      </c>
      <c r="L424" s="10" t="str">
        <f t="shared" ca="1" si="31"/>
        <v>Calibrado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" hidden="1" customHeight="1">
      <c r="A425" s="21" t="s">
        <v>430</v>
      </c>
      <c r="B425" s="5" t="s">
        <v>1506</v>
      </c>
      <c r="C425" s="22" t="s">
        <v>32</v>
      </c>
      <c r="D425" s="59" t="s">
        <v>68</v>
      </c>
      <c r="E425" s="6">
        <v>45892</v>
      </c>
      <c r="F425" s="91">
        <f>EOMONTH(E425,12)</f>
        <v>46265</v>
      </c>
      <c r="G425" s="80"/>
      <c r="H425" s="80"/>
      <c r="I425" s="16" t="s">
        <v>1420</v>
      </c>
      <c r="J425" s="16"/>
      <c r="K425" s="5" t="s">
        <v>6</v>
      </c>
      <c r="L425" s="10" t="str">
        <f t="shared" ca="1" si="31"/>
        <v>Calibrado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" hidden="1" customHeight="1">
      <c r="A426" s="21" t="s">
        <v>835</v>
      </c>
      <c r="B426" s="5" t="s">
        <v>1506</v>
      </c>
      <c r="C426" s="22" t="s">
        <v>32</v>
      </c>
      <c r="D426" s="9" t="s">
        <v>836</v>
      </c>
      <c r="E426" s="6">
        <v>46134</v>
      </c>
      <c r="F426" s="91">
        <f>EOMONTH(E426,12)</f>
        <v>46507</v>
      </c>
      <c r="G426" s="78"/>
      <c r="H426" s="78"/>
      <c r="I426" s="16" t="s">
        <v>1197</v>
      </c>
      <c r="J426" s="16" t="s">
        <v>1901</v>
      </c>
      <c r="K426" s="4" t="s">
        <v>6</v>
      </c>
      <c r="L426" s="10" t="str">
        <f t="shared" ca="1" si="31"/>
        <v>Calibrado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" hidden="1" customHeight="1">
      <c r="A427" s="20" t="s">
        <v>115</v>
      </c>
      <c r="B427" s="5" t="s">
        <v>1506</v>
      </c>
      <c r="C427" s="22" t="s">
        <v>32</v>
      </c>
      <c r="D427" s="9" t="s">
        <v>837</v>
      </c>
      <c r="E427" s="6">
        <v>46104</v>
      </c>
      <c r="F427" s="91">
        <f t="shared" ref="F427:F434" si="35">EOMONTH(E427,12)</f>
        <v>46477</v>
      </c>
      <c r="G427" s="80" t="s">
        <v>2062</v>
      </c>
      <c r="H427" s="80"/>
      <c r="I427" s="16" t="s">
        <v>1118</v>
      </c>
      <c r="J427" s="16" t="s">
        <v>1837</v>
      </c>
      <c r="K427" s="5" t="s">
        <v>6</v>
      </c>
      <c r="L427" s="10" t="str">
        <f t="shared" ca="1" si="31"/>
        <v>Calibrado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" hidden="1" customHeight="1">
      <c r="A428" s="21" t="s">
        <v>200</v>
      </c>
      <c r="B428" s="5" t="s">
        <v>1506</v>
      </c>
      <c r="C428" s="22" t="s">
        <v>32</v>
      </c>
      <c r="D428" s="59" t="s">
        <v>67</v>
      </c>
      <c r="E428" s="6">
        <v>45894</v>
      </c>
      <c r="F428" s="91">
        <f t="shared" si="35"/>
        <v>46265</v>
      </c>
      <c r="G428" s="80"/>
      <c r="H428" s="80"/>
      <c r="I428" s="16" t="s">
        <v>1422</v>
      </c>
      <c r="J428" s="16"/>
      <c r="K428" s="5" t="s">
        <v>6</v>
      </c>
      <c r="L428" s="10" t="str">
        <f t="shared" ca="1" si="31"/>
        <v>Calibrado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" hidden="1" customHeight="1">
      <c r="A429" s="21" t="s">
        <v>201</v>
      </c>
      <c r="B429" s="5" t="s">
        <v>1506</v>
      </c>
      <c r="C429" s="22" t="s">
        <v>32</v>
      </c>
      <c r="D429" s="59" t="s">
        <v>96</v>
      </c>
      <c r="E429" s="6">
        <v>45894</v>
      </c>
      <c r="F429" s="91">
        <f t="shared" si="35"/>
        <v>46265</v>
      </c>
      <c r="G429" s="78"/>
      <c r="H429" s="78"/>
      <c r="I429" s="16" t="s">
        <v>1423</v>
      </c>
      <c r="J429" s="16"/>
      <c r="K429" s="5" t="s">
        <v>6</v>
      </c>
      <c r="L429" s="12" t="str">
        <f t="shared" ca="1" si="31"/>
        <v>Calibrado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" hidden="1" customHeight="1">
      <c r="A430" s="21">
        <v>1330</v>
      </c>
      <c r="B430" s="5" t="s">
        <v>1506</v>
      </c>
      <c r="C430" s="22" t="s">
        <v>32</v>
      </c>
      <c r="D430" s="9" t="s">
        <v>838</v>
      </c>
      <c r="E430" s="6">
        <v>46134</v>
      </c>
      <c r="F430" s="91">
        <f t="shared" si="35"/>
        <v>46507</v>
      </c>
      <c r="G430" s="78"/>
      <c r="H430" s="78"/>
      <c r="I430" s="16" t="s">
        <v>1198</v>
      </c>
      <c r="J430" s="16" t="s">
        <v>1902</v>
      </c>
      <c r="K430" s="5" t="s">
        <v>6</v>
      </c>
      <c r="L430" s="12" t="str">
        <f t="shared" ca="1" si="31"/>
        <v>Calibrado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" hidden="1" customHeight="1">
      <c r="A431" s="21">
        <v>1331</v>
      </c>
      <c r="B431" s="5" t="s">
        <v>1506</v>
      </c>
      <c r="C431" s="22" t="s">
        <v>32</v>
      </c>
      <c r="D431" s="8" t="s">
        <v>839</v>
      </c>
      <c r="E431" s="6">
        <v>45943</v>
      </c>
      <c r="F431" s="91">
        <f t="shared" si="35"/>
        <v>46326</v>
      </c>
      <c r="G431" s="80" t="s">
        <v>2062</v>
      </c>
      <c r="H431" s="78"/>
      <c r="I431" s="16" t="s">
        <v>1512</v>
      </c>
      <c r="J431" s="16"/>
      <c r="K431" s="5" t="s">
        <v>6</v>
      </c>
      <c r="L431" s="12" t="str">
        <f t="shared" ca="1" si="31"/>
        <v>Calibrado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" hidden="1" customHeight="1">
      <c r="A432" s="21">
        <v>1332</v>
      </c>
      <c r="B432" s="5" t="s">
        <v>1506</v>
      </c>
      <c r="C432" s="22" t="s">
        <v>32</v>
      </c>
      <c r="D432" s="8" t="s">
        <v>840</v>
      </c>
      <c r="E432" s="6">
        <v>46134</v>
      </c>
      <c r="F432" s="91">
        <f t="shared" si="35"/>
        <v>46507</v>
      </c>
      <c r="G432" s="78"/>
      <c r="H432" s="78"/>
      <c r="I432" s="71" t="s">
        <v>1199</v>
      </c>
      <c r="J432" s="71" t="s">
        <v>1903</v>
      </c>
      <c r="K432" s="5" t="s">
        <v>6</v>
      </c>
      <c r="L432" s="12" t="str">
        <f t="shared" ca="1" si="31"/>
        <v>Calibrado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" hidden="1" customHeight="1">
      <c r="A433" s="21">
        <v>1333</v>
      </c>
      <c r="B433" s="5" t="s">
        <v>1506</v>
      </c>
      <c r="C433" s="38" t="s">
        <v>841</v>
      </c>
      <c r="D433" s="9">
        <v>463526310</v>
      </c>
      <c r="E433" s="6">
        <v>45992</v>
      </c>
      <c r="F433" s="91">
        <f t="shared" si="35"/>
        <v>46387</v>
      </c>
      <c r="G433" s="80"/>
      <c r="H433" s="80"/>
      <c r="I433" s="16" t="s">
        <v>1601</v>
      </c>
      <c r="J433" s="16"/>
      <c r="K433" s="4" t="s">
        <v>6</v>
      </c>
      <c r="L433" s="10" t="str">
        <f t="shared" ca="1" si="31"/>
        <v>Calibrado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" hidden="1" customHeight="1">
      <c r="A434" s="21">
        <v>1334</v>
      </c>
      <c r="B434" s="5" t="s">
        <v>1506</v>
      </c>
      <c r="C434" s="31" t="s">
        <v>34</v>
      </c>
      <c r="D434" s="9" t="s">
        <v>593</v>
      </c>
      <c r="E434" s="6">
        <v>45967</v>
      </c>
      <c r="F434" s="91">
        <f t="shared" si="35"/>
        <v>46356</v>
      </c>
      <c r="G434" s="78"/>
      <c r="H434" s="78"/>
      <c r="I434" s="16" t="s">
        <v>1564</v>
      </c>
      <c r="J434" s="16"/>
      <c r="K434" s="4" t="s">
        <v>6</v>
      </c>
      <c r="L434" s="10" t="str">
        <f t="shared" ca="1" si="31"/>
        <v>Calibrado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" hidden="1" customHeight="1">
      <c r="A435" s="21" t="s">
        <v>172</v>
      </c>
      <c r="B435" s="5" t="s">
        <v>1506</v>
      </c>
      <c r="C435" s="29" t="s">
        <v>59</v>
      </c>
      <c r="D435" s="59" t="s">
        <v>78</v>
      </c>
      <c r="E435" s="6">
        <v>46038</v>
      </c>
      <c r="F435" s="91">
        <f t="shared" ref="F435:F467" si="36">EOMONTH(E435,12)</f>
        <v>46418</v>
      </c>
      <c r="G435" s="78"/>
      <c r="H435" s="78" t="s">
        <v>2068</v>
      </c>
      <c r="I435" s="16" t="s">
        <v>1015</v>
      </c>
      <c r="J435" s="16" t="s">
        <v>1672</v>
      </c>
      <c r="K435" s="5" t="s">
        <v>6</v>
      </c>
      <c r="L435" s="10" t="str">
        <f t="shared" ca="1" si="31"/>
        <v>Calibrado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" hidden="1" customHeight="1">
      <c r="A436" s="21" t="s">
        <v>173</v>
      </c>
      <c r="B436" s="5" t="s">
        <v>1506</v>
      </c>
      <c r="C436" s="29" t="s">
        <v>59</v>
      </c>
      <c r="D436" s="59" t="s">
        <v>558</v>
      </c>
      <c r="E436" s="6">
        <v>46060</v>
      </c>
      <c r="F436" s="91">
        <f t="shared" si="36"/>
        <v>46446</v>
      </c>
      <c r="G436" s="80" t="s">
        <v>2063</v>
      </c>
      <c r="H436" s="78" t="s">
        <v>2068</v>
      </c>
      <c r="I436" s="16" t="s">
        <v>1068</v>
      </c>
      <c r="J436" s="16" t="s">
        <v>1769</v>
      </c>
      <c r="K436" s="5" t="s">
        <v>6</v>
      </c>
      <c r="L436" s="10" t="str">
        <f t="shared" ca="1" si="31"/>
        <v>Calibrado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" hidden="1" customHeight="1">
      <c r="A437" s="21" t="s">
        <v>171</v>
      </c>
      <c r="B437" s="5" t="s">
        <v>1506</v>
      </c>
      <c r="C437" s="29" t="s">
        <v>59</v>
      </c>
      <c r="D437" s="59" t="s">
        <v>559</v>
      </c>
      <c r="E437" s="6">
        <v>46000</v>
      </c>
      <c r="F437" s="91">
        <f t="shared" si="36"/>
        <v>46387</v>
      </c>
      <c r="G437" s="78"/>
      <c r="H437" s="78"/>
      <c r="I437" s="16" t="s">
        <v>1615</v>
      </c>
      <c r="J437" s="16"/>
      <c r="K437" s="5" t="s">
        <v>6</v>
      </c>
      <c r="L437" s="10" t="str">
        <f t="shared" ca="1" si="31"/>
        <v>Calibrado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" hidden="1" customHeight="1">
      <c r="A438" s="21" t="s">
        <v>170</v>
      </c>
      <c r="B438" s="5" t="s">
        <v>1506</v>
      </c>
      <c r="C438" s="29" t="s">
        <v>59</v>
      </c>
      <c r="D438" s="59" t="s">
        <v>79</v>
      </c>
      <c r="E438" s="6">
        <v>46038</v>
      </c>
      <c r="F438" s="91">
        <f t="shared" si="36"/>
        <v>46418</v>
      </c>
      <c r="G438" s="78"/>
      <c r="H438" s="78" t="s">
        <v>2068</v>
      </c>
      <c r="I438" s="16" t="s">
        <v>1016</v>
      </c>
      <c r="J438" s="16" t="s">
        <v>1673</v>
      </c>
      <c r="K438" s="5" t="s">
        <v>6</v>
      </c>
      <c r="L438" s="10" t="str">
        <f t="shared" ca="1" si="31"/>
        <v>Calibrado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" hidden="1" customHeight="1">
      <c r="A439" s="21" t="s">
        <v>186</v>
      </c>
      <c r="B439" s="5" t="s">
        <v>1506</v>
      </c>
      <c r="C439" s="29" t="s">
        <v>59</v>
      </c>
      <c r="D439" s="59" t="s">
        <v>106</v>
      </c>
      <c r="E439" s="6">
        <v>46038</v>
      </c>
      <c r="F439" s="91">
        <f t="shared" si="36"/>
        <v>46418</v>
      </c>
      <c r="G439" s="78"/>
      <c r="H439" s="78" t="s">
        <v>2068</v>
      </c>
      <c r="I439" s="16" t="s">
        <v>1017</v>
      </c>
      <c r="J439" s="16" t="s">
        <v>1674</v>
      </c>
      <c r="K439" s="5" t="s">
        <v>6</v>
      </c>
      <c r="L439" s="10" t="str">
        <f t="shared" ca="1" si="31"/>
        <v>Calibrado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" hidden="1" customHeight="1">
      <c r="A440" s="21" t="s">
        <v>168</v>
      </c>
      <c r="B440" s="5" t="s">
        <v>1506</v>
      </c>
      <c r="C440" s="29" t="s">
        <v>59</v>
      </c>
      <c r="D440" s="59" t="s">
        <v>91</v>
      </c>
      <c r="E440" s="6">
        <v>46039</v>
      </c>
      <c r="F440" s="91">
        <f t="shared" si="36"/>
        <v>46418</v>
      </c>
      <c r="G440" s="78"/>
      <c r="H440" s="78" t="s">
        <v>2068</v>
      </c>
      <c r="I440" s="16" t="s">
        <v>1018</v>
      </c>
      <c r="J440" s="16" t="s">
        <v>1675</v>
      </c>
      <c r="K440" s="5" t="s">
        <v>6</v>
      </c>
      <c r="L440" s="10" t="str">
        <f t="shared" ca="1" si="31"/>
        <v>Calibrado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" hidden="1" customHeight="1">
      <c r="A441" s="21" t="s">
        <v>180</v>
      </c>
      <c r="B441" s="5" t="s">
        <v>1506</v>
      </c>
      <c r="C441" s="29" t="s">
        <v>59</v>
      </c>
      <c r="D441" s="59" t="s">
        <v>71</v>
      </c>
      <c r="E441" s="6">
        <v>46039</v>
      </c>
      <c r="F441" s="91">
        <f t="shared" si="36"/>
        <v>46418</v>
      </c>
      <c r="G441" s="78"/>
      <c r="H441" s="78" t="s">
        <v>2068</v>
      </c>
      <c r="I441" s="16" t="s">
        <v>1019</v>
      </c>
      <c r="J441" s="16" t="s">
        <v>1676</v>
      </c>
      <c r="K441" s="5" t="s">
        <v>6</v>
      </c>
      <c r="L441" s="10" t="str">
        <f t="shared" ca="1" si="31"/>
        <v>Calibrado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" hidden="1" customHeight="1">
      <c r="A442" s="21" t="s">
        <v>185</v>
      </c>
      <c r="B442" s="5" t="s">
        <v>1506</v>
      </c>
      <c r="C442" s="29" t="s">
        <v>59</v>
      </c>
      <c r="D442" s="59" t="s">
        <v>93</v>
      </c>
      <c r="E442" s="6">
        <v>46039</v>
      </c>
      <c r="F442" s="91">
        <f t="shared" si="36"/>
        <v>46418</v>
      </c>
      <c r="G442" s="78"/>
      <c r="H442" s="78" t="s">
        <v>2068</v>
      </c>
      <c r="I442" s="16" t="s">
        <v>1020</v>
      </c>
      <c r="J442" s="16" t="s">
        <v>1677</v>
      </c>
      <c r="K442" s="5" t="s">
        <v>6</v>
      </c>
      <c r="L442" s="10" t="str">
        <f t="shared" ca="1" si="31"/>
        <v>Calibrado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" hidden="1" customHeight="1">
      <c r="A443" s="21" t="s">
        <v>181</v>
      </c>
      <c r="B443" s="5" t="s">
        <v>1506</v>
      </c>
      <c r="C443" s="29" t="s">
        <v>59</v>
      </c>
      <c r="D443" s="59" t="s">
        <v>84</v>
      </c>
      <c r="E443" s="6">
        <v>46060</v>
      </c>
      <c r="F443" s="91">
        <f t="shared" si="36"/>
        <v>46446</v>
      </c>
      <c r="G443" s="80" t="s">
        <v>2062</v>
      </c>
      <c r="H443" s="78" t="s">
        <v>2068</v>
      </c>
      <c r="I443" s="16" t="s">
        <v>1069</v>
      </c>
      <c r="J443" s="16" t="s">
        <v>1770</v>
      </c>
      <c r="K443" s="5" t="s">
        <v>6</v>
      </c>
      <c r="L443" s="10" t="str">
        <f t="shared" ca="1" si="31"/>
        <v>Calibrado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" hidden="1" customHeight="1">
      <c r="A444" s="21" t="s">
        <v>182</v>
      </c>
      <c r="B444" s="5" t="s">
        <v>1506</v>
      </c>
      <c r="C444" s="29" t="s">
        <v>59</v>
      </c>
      <c r="D444" s="59" t="s">
        <v>85</v>
      </c>
      <c r="E444" s="6">
        <v>46062</v>
      </c>
      <c r="F444" s="91">
        <f t="shared" si="36"/>
        <v>46446</v>
      </c>
      <c r="G444" s="80" t="s">
        <v>2062</v>
      </c>
      <c r="H444" s="78" t="s">
        <v>2068</v>
      </c>
      <c r="I444" s="16" t="s">
        <v>1070</v>
      </c>
      <c r="J444" s="16" t="s">
        <v>1771</v>
      </c>
      <c r="K444" s="5" t="s">
        <v>6</v>
      </c>
      <c r="L444" s="10" t="str">
        <f t="shared" ca="1" si="31"/>
        <v>Calibrado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" hidden="1" customHeight="1">
      <c r="A445" s="21" t="s">
        <v>167</v>
      </c>
      <c r="B445" s="5" t="s">
        <v>1506</v>
      </c>
      <c r="C445" s="29" t="s">
        <v>59</v>
      </c>
      <c r="D445" s="59" t="s">
        <v>83</v>
      </c>
      <c r="E445" s="6">
        <v>46000</v>
      </c>
      <c r="F445" s="91">
        <f t="shared" si="36"/>
        <v>46387</v>
      </c>
      <c r="G445" s="78"/>
      <c r="H445" s="78"/>
      <c r="I445" s="16" t="s">
        <v>1616</v>
      </c>
      <c r="J445" s="16"/>
      <c r="K445" s="5" t="s">
        <v>6</v>
      </c>
      <c r="L445" s="10" t="str">
        <f t="shared" ca="1" si="31"/>
        <v>Calibrado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" hidden="1" customHeight="1">
      <c r="A446" s="21" t="s">
        <v>166</v>
      </c>
      <c r="B446" s="5" t="s">
        <v>1506</v>
      </c>
      <c r="C446" s="29" t="s">
        <v>59</v>
      </c>
      <c r="D446" s="59" t="s">
        <v>82</v>
      </c>
      <c r="E446" s="6">
        <v>46001</v>
      </c>
      <c r="F446" s="91">
        <f t="shared" si="36"/>
        <v>46387</v>
      </c>
      <c r="G446" s="78"/>
      <c r="H446" s="78"/>
      <c r="I446" s="16" t="s">
        <v>1617</v>
      </c>
      <c r="J446" s="16"/>
      <c r="K446" s="5" t="s">
        <v>6</v>
      </c>
      <c r="L446" s="10" t="str">
        <f t="shared" ca="1" si="31"/>
        <v>Calibrado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" hidden="1" customHeight="1">
      <c r="A447" s="21" t="s">
        <v>165</v>
      </c>
      <c r="B447" s="5" t="s">
        <v>1506</v>
      </c>
      <c r="C447" s="29" t="s">
        <v>59</v>
      </c>
      <c r="D447" s="59" t="s">
        <v>88</v>
      </c>
      <c r="E447" s="6">
        <v>46062</v>
      </c>
      <c r="F447" s="91">
        <f t="shared" si="36"/>
        <v>46446</v>
      </c>
      <c r="G447" s="80" t="s">
        <v>2062</v>
      </c>
      <c r="H447" s="78" t="s">
        <v>2068</v>
      </c>
      <c r="I447" s="16" t="s">
        <v>1071</v>
      </c>
      <c r="J447" s="16" t="s">
        <v>1772</v>
      </c>
      <c r="K447" s="5" t="s">
        <v>6</v>
      </c>
      <c r="L447" s="10" t="str">
        <f t="shared" ca="1" si="31"/>
        <v>Calibrado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" hidden="1" customHeight="1">
      <c r="A448" s="21" t="s">
        <v>164</v>
      </c>
      <c r="B448" s="5" t="s">
        <v>1506</v>
      </c>
      <c r="C448" s="29" t="s">
        <v>59</v>
      </c>
      <c r="D448" s="59" t="s">
        <v>89</v>
      </c>
      <c r="E448" s="6">
        <v>46063</v>
      </c>
      <c r="F448" s="91">
        <f t="shared" si="36"/>
        <v>46446</v>
      </c>
      <c r="G448" s="80" t="s">
        <v>2062</v>
      </c>
      <c r="H448" s="78" t="s">
        <v>2068</v>
      </c>
      <c r="I448" s="16" t="s">
        <v>1072</v>
      </c>
      <c r="J448" s="16" t="s">
        <v>1773</v>
      </c>
      <c r="K448" s="5" t="s">
        <v>6</v>
      </c>
      <c r="L448" s="10" t="str">
        <f t="shared" ca="1" si="31"/>
        <v>Calibrado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" hidden="1" customHeight="1">
      <c r="A449" s="21" t="s">
        <v>160</v>
      </c>
      <c r="B449" s="5" t="s">
        <v>1506</v>
      </c>
      <c r="C449" s="29" t="s">
        <v>59</v>
      </c>
      <c r="D449" s="59" t="s">
        <v>560</v>
      </c>
      <c r="E449" s="6">
        <v>45982</v>
      </c>
      <c r="F449" s="91">
        <f t="shared" si="36"/>
        <v>46356</v>
      </c>
      <c r="G449" s="78"/>
      <c r="H449" s="78"/>
      <c r="I449" s="16" t="s">
        <v>1585</v>
      </c>
      <c r="J449" s="16"/>
      <c r="K449" s="5" t="s">
        <v>6</v>
      </c>
      <c r="L449" s="10" t="str">
        <f t="shared" ca="1" si="31"/>
        <v>Calibrado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" hidden="1" customHeight="1">
      <c r="A450" s="21" t="s">
        <v>159</v>
      </c>
      <c r="B450" s="5" t="s">
        <v>1506</v>
      </c>
      <c r="C450" s="29" t="s">
        <v>59</v>
      </c>
      <c r="D450" s="59" t="s">
        <v>98</v>
      </c>
      <c r="E450" s="6">
        <v>45982</v>
      </c>
      <c r="F450" s="91">
        <f t="shared" si="36"/>
        <v>46356</v>
      </c>
      <c r="G450" s="78"/>
      <c r="H450" s="78"/>
      <c r="I450" s="16" t="s">
        <v>1586</v>
      </c>
      <c r="J450" s="16"/>
      <c r="K450" s="5" t="s">
        <v>6</v>
      </c>
      <c r="L450" s="10" t="str">
        <f t="shared" ca="1" si="31"/>
        <v>Calibrado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" hidden="1" customHeight="1">
      <c r="A451" s="21" t="s">
        <v>183</v>
      </c>
      <c r="B451" s="5" t="s">
        <v>1506</v>
      </c>
      <c r="C451" s="29" t="s">
        <v>59</v>
      </c>
      <c r="D451" s="59" t="s">
        <v>86</v>
      </c>
      <c r="E451" s="6">
        <v>46063</v>
      </c>
      <c r="F451" s="91">
        <f t="shared" si="36"/>
        <v>46446</v>
      </c>
      <c r="G451" s="80" t="s">
        <v>2063</v>
      </c>
      <c r="H451" s="78" t="s">
        <v>2068</v>
      </c>
      <c r="I451" s="16" t="s">
        <v>1073</v>
      </c>
      <c r="J451" s="16" t="s">
        <v>1774</v>
      </c>
      <c r="K451" s="5" t="s">
        <v>6</v>
      </c>
      <c r="L451" s="10" t="str">
        <f t="shared" ref="L451:L514" ca="1" si="37">IF(K451="TERCEIRO","TERCEIRO",IF(K451="EM MODIF.","EM MODIF.",IF(K451="INATIVO","INATIVO",IF($E451="","Desenvolvimento",IF($F451&lt;$M$1,"Atrasado","Calibrado")))))</f>
        <v>Calibrado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" hidden="1" customHeight="1">
      <c r="A452" s="21" t="s">
        <v>184</v>
      </c>
      <c r="B452" s="5" t="s">
        <v>1506</v>
      </c>
      <c r="C452" s="29" t="s">
        <v>59</v>
      </c>
      <c r="D452" s="59" t="s">
        <v>87</v>
      </c>
      <c r="E452" s="6">
        <v>46064</v>
      </c>
      <c r="F452" s="91">
        <f t="shared" si="36"/>
        <v>46446</v>
      </c>
      <c r="G452" s="80" t="s">
        <v>2063</v>
      </c>
      <c r="H452" s="78" t="s">
        <v>2068</v>
      </c>
      <c r="I452" s="16" t="s">
        <v>1074</v>
      </c>
      <c r="J452" s="16" t="s">
        <v>1775</v>
      </c>
      <c r="K452" s="5" t="s">
        <v>6</v>
      </c>
      <c r="L452" s="10" t="str">
        <f t="shared" ca="1" si="37"/>
        <v>Calibrado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" hidden="1" customHeight="1">
      <c r="A453" s="21" t="s">
        <v>163</v>
      </c>
      <c r="B453" s="5" t="s">
        <v>1506</v>
      </c>
      <c r="C453" s="29" t="s">
        <v>59</v>
      </c>
      <c r="D453" s="59" t="s">
        <v>81</v>
      </c>
      <c r="E453" s="6">
        <v>46001</v>
      </c>
      <c r="F453" s="91">
        <f t="shared" si="36"/>
        <v>46387</v>
      </c>
      <c r="G453" s="78"/>
      <c r="H453" s="78"/>
      <c r="I453" s="16" t="s">
        <v>1618</v>
      </c>
      <c r="J453" s="16"/>
      <c r="K453" s="5" t="s">
        <v>6</v>
      </c>
      <c r="L453" s="10" t="str">
        <f t="shared" ca="1" si="37"/>
        <v>Calibrado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" hidden="1" customHeight="1">
      <c r="A454" s="21" t="s">
        <v>157</v>
      </c>
      <c r="B454" s="5" t="s">
        <v>1506</v>
      </c>
      <c r="C454" s="29" t="s">
        <v>59</v>
      </c>
      <c r="D454" s="59" t="s">
        <v>80</v>
      </c>
      <c r="E454" s="6">
        <v>46041</v>
      </c>
      <c r="F454" s="91">
        <f t="shared" si="36"/>
        <v>46418</v>
      </c>
      <c r="G454" s="78"/>
      <c r="H454" s="78" t="s">
        <v>2068</v>
      </c>
      <c r="I454" s="16" t="s">
        <v>1021</v>
      </c>
      <c r="J454" s="16" t="s">
        <v>1678</v>
      </c>
      <c r="K454" s="5" t="s">
        <v>6</v>
      </c>
      <c r="L454" s="10" t="str">
        <f t="shared" ca="1" si="37"/>
        <v>Calibrado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5" hidden="1" customHeight="1">
      <c r="A455" s="21" t="s">
        <v>175</v>
      </c>
      <c r="B455" s="5" t="s">
        <v>1506</v>
      </c>
      <c r="C455" s="29" t="s">
        <v>59</v>
      </c>
      <c r="D455" s="59" t="s">
        <v>76</v>
      </c>
      <c r="E455" s="6">
        <v>46041</v>
      </c>
      <c r="F455" s="91">
        <f t="shared" si="36"/>
        <v>46418</v>
      </c>
      <c r="G455" s="78"/>
      <c r="H455" s="78" t="s">
        <v>2068</v>
      </c>
      <c r="I455" s="16" t="s">
        <v>1022</v>
      </c>
      <c r="J455" s="16" t="s">
        <v>1679</v>
      </c>
      <c r="K455" s="5" t="s">
        <v>6</v>
      </c>
      <c r="L455" s="10" t="str">
        <f t="shared" ca="1" si="37"/>
        <v>Calibrado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" hidden="1" customHeight="1">
      <c r="A456" s="21" t="s">
        <v>177</v>
      </c>
      <c r="B456" s="5" t="s">
        <v>1506</v>
      </c>
      <c r="C456" s="29" t="s">
        <v>59</v>
      </c>
      <c r="D456" s="59" t="s">
        <v>74</v>
      </c>
      <c r="E456" s="6">
        <v>46041</v>
      </c>
      <c r="F456" s="91">
        <f t="shared" si="36"/>
        <v>46418</v>
      </c>
      <c r="G456" s="78"/>
      <c r="H456" s="78" t="s">
        <v>2068</v>
      </c>
      <c r="I456" s="16" t="s">
        <v>1023</v>
      </c>
      <c r="J456" s="16" t="s">
        <v>1680</v>
      </c>
      <c r="K456" s="5" t="s">
        <v>6</v>
      </c>
      <c r="L456" s="10" t="str">
        <f t="shared" ca="1" si="37"/>
        <v>Calibrado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" hidden="1" customHeight="1">
      <c r="A457" s="21" t="s">
        <v>178</v>
      </c>
      <c r="B457" s="5" t="s">
        <v>1506</v>
      </c>
      <c r="C457" s="29" t="s">
        <v>59</v>
      </c>
      <c r="D457" s="59" t="s">
        <v>73</v>
      </c>
      <c r="E457" s="6">
        <v>46042</v>
      </c>
      <c r="F457" s="91">
        <f t="shared" si="36"/>
        <v>46418</v>
      </c>
      <c r="G457" s="78"/>
      <c r="H457" s="78" t="s">
        <v>2068</v>
      </c>
      <c r="I457" s="16" t="s">
        <v>1024</v>
      </c>
      <c r="J457" s="16" t="s">
        <v>1681</v>
      </c>
      <c r="K457" s="5" t="s">
        <v>6</v>
      </c>
      <c r="L457" s="10" t="str">
        <f t="shared" ca="1" si="37"/>
        <v>Calibrado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" hidden="1" customHeight="1">
      <c r="A458" s="21" t="s">
        <v>179</v>
      </c>
      <c r="B458" s="5" t="s">
        <v>1506</v>
      </c>
      <c r="C458" s="29" t="s">
        <v>59</v>
      </c>
      <c r="D458" s="59" t="s">
        <v>72</v>
      </c>
      <c r="E458" s="6">
        <v>46042</v>
      </c>
      <c r="F458" s="91">
        <f t="shared" si="36"/>
        <v>46418</v>
      </c>
      <c r="G458" s="78"/>
      <c r="H458" s="78" t="s">
        <v>2068</v>
      </c>
      <c r="I458" s="16" t="s">
        <v>1025</v>
      </c>
      <c r="J458" s="16" t="s">
        <v>1682</v>
      </c>
      <c r="K458" s="5" t="s">
        <v>6</v>
      </c>
      <c r="L458" s="10" t="str">
        <f t="shared" ca="1" si="37"/>
        <v>Calibrado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" hidden="1" customHeight="1">
      <c r="A459" s="21" t="s">
        <v>174</v>
      </c>
      <c r="B459" s="5" t="s">
        <v>1506</v>
      </c>
      <c r="C459" s="29" t="s">
        <v>59</v>
      </c>
      <c r="D459" s="59" t="s">
        <v>77</v>
      </c>
      <c r="E459" s="6">
        <v>46042</v>
      </c>
      <c r="F459" s="91">
        <f t="shared" si="36"/>
        <v>46418</v>
      </c>
      <c r="G459" s="78"/>
      <c r="H459" s="78" t="s">
        <v>2068</v>
      </c>
      <c r="I459" s="16" t="s">
        <v>1026</v>
      </c>
      <c r="J459" s="16" t="s">
        <v>1683</v>
      </c>
      <c r="K459" s="5" t="s">
        <v>6</v>
      </c>
      <c r="L459" s="10" t="str">
        <f t="shared" ca="1" si="37"/>
        <v>Calibrado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" hidden="1" customHeight="1">
      <c r="A460" s="21" t="s">
        <v>176</v>
      </c>
      <c r="B460" s="5" t="s">
        <v>1506</v>
      </c>
      <c r="C460" s="29" t="s">
        <v>59</v>
      </c>
      <c r="D460" s="59" t="s">
        <v>75</v>
      </c>
      <c r="E460" s="6">
        <v>46043</v>
      </c>
      <c r="F460" s="91">
        <f t="shared" si="36"/>
        <v>46418</v>
      </c>
      <c r="G460" s="78"/>
      <c r="H460" s="78" t="s">
        <v>2068</v>
      </c>
      <c r="I460" s="16" t="s">
        <v>1027</v>
      </c>
      <c r="J460" s="16" t="s">
        <v>1684</v>
      </c>
      <c r="K460" s="5" t="s">
        <v>6</v>
      </c>
      <c r="L460" s="10" t="str">
        <f t="shared" ca="1" si="37"/>
        <v>Calibrado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" hidden="1" customHeight="1">
      <c r="A461" s="21" t="s">
        <v>169</v>
      </c>
      <c r="B461" s="5" t="s">
        <v>1506</v>
      </c>
      <c r="C461" s="29" t="s">
        <v>59</v>
      </c>
      <c r="D461" s="59" t="s">
        <v>561</v>
      </c>
      <c r="E461" s="6">
        <v>46202</v>
      </c>
      <c r="F461" s="91">
        <f t="shared" si="36"/>
        <v>46568</v>
      </c>
      <c r="G461" s="78" t="s">
        <v>2063</v>
      </c>
      <c r="H461" s="78"/>
      <c r="I461" s="16" t="s">
        <v>1277</v>
      </c>
      <c r="J461" s="16" t="s">
        <v>2042</v>
      </c>
      <c r="K461" s="5" t="s">
        <v>6</v>
      </c>
      <c r="L461" s="10" t="str">
        <f t="shared" ca="1" si="37"/>
        <v>Calibrado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" hidden="1" customHeight="1">
      <c r="A462" s="21" t="s">
        <v>162</v>
      </c>
      <c r="B462" s="5" t="s">
        <v>1506</v>
      </c>
      <c r="C462" s="29" t="s">
        <v>59</v>
      </c>
      <c r="D462" s="61" t="s">
        <v>92</v>
      </c>
      <c r="E462" s="6">
        <v>46064</v>
      </c>
      <c r="F462" s="91">
        <f t="shared" si="36"/>
        <v>46446</v>
      </c>
      <c r="G462" s="80" t="s">
        <v>2063</v>
      </c>
      <c r="H462" s="78" t="s">
        <v>2068</v>
      </c>
      <c r="I462" s="16" t="s">
        <v>1075</v>
      </c>
      <c r="J462" s="16" t="s">
        <v>1776</v>
      </c>
      <c r="K462" s="5" t="s">
        <v>6</v>
      </c>
      <c r="L462" s="10" t="str">
        <f t="shared" ca="1" si="37"/>
        <v>Calibrado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" hidden="1" customHeight="1">
      <c r="A463" s="21" t="s">
        <v>158</v>
      </c>
      <c r="B463" s="5" t="s">
        <v>1506</v>
      </c>
      <c r="C463" s="29" t="s">
        <v>59</v>
      </c>
      <c r="D463" s="59" t="s">
        <v>562</v>
      </c>
      <c r="E463" s="6">
        <v>46065</v>
      </c>
      <c r="F463" s="91">
        <f t="shared" si="36"/>
        <v>46446</v>
      </c>
      <c r="G463" s="80" t="s">
        <v>2062</v>
      </c>
      <c r="H463" s="78" t="s">
        <v>2068</v>
      </c>
      <c r="I463" s="16" t="s">
        <v>1076</v>
      </c>
      <c r="J463" s="16" t="s">
        <v>1777</v>
      </c>
      <c r="K463" s="5" t="s">
        <v>6</v>
      </c>
      <c r="L463" s="10" t="str">
        <f t="shared" ca="1" si="37"/>
        <v>Calibrado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" hidden="1" customHeight="1">
      <c r="A464" s="21" t="s">
        <v>161</v>
      </c>
      <c r="B464" s="5" t="s">
        <v>1506</v>
      </c>
      <c r="C464" s="29" t="s">
        <v>59</v>
      </c>
      <c r="D464" s="61" t="s">
        <v>563</v>
      </c>
      <c r="E464" s="6">
        <v>46113</v>
      </c>
      <c r="F464" s="91">
        <f t="shared" si="36"/>
        <v>46507</v>
      </c>
      <c r="G464" s="78"/>
      <c r="H464" s="78"/>
      <c r="I464" s="16" t="s">
        <v>1157</v>
      </c>
      <c r="J464" s="16" t="s">
        <v>1860</v>
      </c>
      <c r="K464" s="5" t="s">
        <v>6</v>
      </c>
      <c r="L464" s="10" t="str">
        <f t="shared" ca="1" si="37"/>
        <v>Calibrado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" hidden="1" customHeight="1">
      <c r="A465" s="21" t="s">
        <v>189</v>
      </c>
      <c r="B465" s="5" t="s">
        <v>1503</v>
      </c>
      <c r="C465" s="29" t="s">
        <v>59</v>
      </c>
      <c r="D465" s="59" t="s">
        <v>106</v>
      </c>
      <c r="E465" s="6">
        <v>46043</v>
      </c>
      <c r="F465" s="91">
        <f t="shared" si="36"/>
        <v>46418</v>
      </c>
      <c r="G465" s="78"/>
      <c r="H465" s="78" t="s">
        <v>2068</v>
      </c>
      <c r="I465" s="16" t="s">
        <v>1028</v>
      </c>
      <c r="J465" s="16" t="s">
        <v>1685</v>
      </c>
      <c r="K465" s="5" t="s">
        <v>6</v>
      </c>
      <c r="L465" s="10" t="str">
        <f t="shared" ca="1" si="37"/>
        <v>Calibrado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" hidden="1" customHeight="1">
      <c r="A466" s="21" t="s">
        <v>188</v>
      </c>
      <c r="B466" s="5" t="s">
        <v>1503</v>
      </c>
      <c r="C466" s="29" t="s">
        <v>59</v>
      </c>
      <c r="D466" s="59" t="s">
        <v>83</v>
      </c>
      <c r="E466" s="6">
        <v>46043</v>
      </c>
      <c r="F466" s="91">
        <f t="shared" si="36"/>
        <v>46418</v>
      </c>
      <c r="G466" s="78"/>
      <c r="H466" s="78" t="s">
        <v>2068</v>
      </c>
      <c r="I466" s="16" t="s">
        <v>1029</v>
      </c>
      <c r="J466" s="16" t="s">
        <v>1686</v>
      </c>
      <c r="K466" s="5" t="s">
        <v>6</v>
      </c>
      <c r="L466" s="10" t="str">
        <f t="shared" ca="1" si="37"/>
        <v>Calibrado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" hidden="1" customHeight="1">
      <c r="A467" s="21" t="s">
        <v>187</v>
      </c>
      <c r="B467" s="5" t="s">
        <v>1503</v>
      </c>
      <c r="C467" s="29" t="s">
        <v>59</v>
      </c>
      <c r="D467" s="59" t="s">
        <v>82</v>
      </c>
      <c r="E467" s="6">
        <v>46043</v>
      </c>
      <c r="F467" s="91">
        <f t="shared" si="36"/>
        <v>46418</v>
      </c>
      <c r="G467" s="78"/>
      <c r="H467" s="78" t="s">
        <v>2068</v>
      </c>
      <c r="I467" s="16" t="s">
        <v>1030</v>
      </c>
      <c r="J467" s="16" t="s">
        <v>1687</v>
      </c>
      <c r="K467" s="5" t="s">
        <v>6</v>
      </c>
      <c r="L467" s="10" t="str">
        <f t="shared" ca="1" si="37"/>
        <v>Calibrado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" hidden="1" customHeight="1">
      <c r="A468" s="21">
        <v>1389</v>
      </c>
      <c r="B468" s="5" t="s">
        <v>1506</v>
      </c>
      <c r="C468" s="39" t="s">
        <v>31</v>
      </c>
      <c r="D468" s="9" t="s">
        <v>842</v>
      </c>
      <c r="E468" s="6">
        <v>45968</v>
      </c>
      <c r="F468" s="91">
        <f t="shared" ref="F468:F477" si="38">EOMONTH(E468,12)</f>
        <v>46356</v>
      </c>
      <c r="G468" s="78"/>
      <c r="H468" s="78"/>
      <c r="I468" s="16" t="s">
        <v>1566</v>
      </c>
      <c r="J468" s="16"/>
      <c r="K468" s="4" t="s">
        <v>6</v>
      </c>
      <c r="L468" s="10" t="str">
        <f t="shared" ca="1" si="37"/>
        <v>Calibrado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" hidden="1" customHeight="1">
      <c r="A469" s="21">
        <v>1390</v>
      </c>
      <c r="B469" s="5" t="s">
        <v>1506</v>
      </c>
      <c r="C469" s="39" t="s">
        <v>31</v>
      </c>
      <c r="D469" s="9" t="s">
        <v>843</v>
      </c>
      <c r="E469" s="6">
        <v>46185</v>
      </c>
      <c r="F469" s="91">
        <f t="shared" si="38"/>
        <v>46568</v>
      </c>
      <c r="G469" s="78" t="s">
        <v>2062</v>
      </c>
      <c r="H469" s="78"/>
      <c r="I469" s="16" t="s">
        <v>1279</v>
      </c>
      <c r="J469" s="16" t="s">
        <v>2010</v>
      </c>
      <c r="K469" s="4" t="s">
        <v>6</v>
      </c>
      <c r="L469" s="10" t="str">
        <f t="shared" ca="1" si="37"/>
        <v>Calibrado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" hidden="1" customHeight="1">
      <c r="A470" s="21">
        <v>1391</v>
      </c>
      <c r="B470" s="5" t="s">
        <v>1506</v>
      </c>
      <c r="C470" s="39" t="s">
        <v>31</v>
      </c>
      <c r="D470" s="9" t="s">
        <v>844</v>
      </c>
      <c r="E470" s="6">
        <v>46185</v>
      </c>
      <c r="F470" s="91">
        <f t="shared" si="38"/>
        <v>46568</v>
      </c>
      <c r="G470" s="78" t="s">
        <v>2062</v>
      </c>
      <c r="H470" s="78"/>
      <c r="I470" s="16" t="s">
        <v>1280</v>
      </c>
      <c r="J470" s="16" t="s">
        <v>2011</v>
      </c>
      <c r="K470" s="4" t="s">
        <v>6</v>
      </c>
      <c r="L470" s="10" t="str">
        <f t="shared" ca="1" si="37"/>
        <v>Calibrado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" hidden="1" customHeight="1">
      <c r="A471" s="21">
        <v>1392</v>
      </c>
      <c r="B471" s="5" t="s">
        <v>1506</v>
      </c>
      <c r="C471" s="39" t="s">
        <v>31</v>
      </c>
      <c r="D471" s="9" t="s">
        <v>845</v>
      </c>
      <c r="E471" s="6">
        <v>46216</v>
      </c>
      <c r="F471" s="91">
        <f t="shared" si="38"/>
        <v>46599</v>
      </c>
      <c r="G471" s="78" t="s">
        <v>2062</v>
      </c>
      <c r="H471" s="78" t="s">
        <v>2068</v>
      </c>
      <c r="I471" s="16" t="s">
        <v>1349</v>
      </c>
      <c r="J471" s="16" t="s">
        <v>2077</v>
      </c>
      <c r="K471" s="4" t="s">
        <v>6</v>
      </c>
      <c r="L471" s="10" t="str">
        <f t="shared" ca="1" si="37"/>
        <v>Calibrado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" hidden="1" customHeight="1">
      <c r="A472" s="21">
        <v>1393</v>
      </c>
      <c r="B472" s="5" t="s">
        <v>1506</v>
      </c>
      <c r="C472" s="39" t="s">
        <v>31</v>
      </c>
      <c r="D472" s="9" t="s">
        <v>846</v>
      </c>
      <c r="E472" s="6">
        <v>46216</v>
      </c>
      <c r="F472" s="91">
        <f t="shared" si="38"/>
        <v>46599</v>
      </c>
      <c r="G472" s="78" t="s">
        <v>2062</v>
      </c>
      <c r="H472" s="78" t="s">
        <v>2068</v>
      </c>
      <c r="I472" s="16" t="s">
        <v>1350</v>
      </c>
      <c r="J472" s="16" t="s">
        <v>2078</v>
      </c>
      <c r="K472" s="4" t="s">
        <v>6</v>
      </c>
      <c r="L472" s="10" t="str">
        <f t="shared" ca="1" si="37"/>
        <v>Calibrado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" hidden="1" customHeight="1">
      <c r="A473" s="21">
        <v>1394</v>
      </c>
      <c r="B473" s="5" t="s">
        <v>1506</v>
      </c>
      <c r="C473" s="39" t="s">
        <v>31</v>
      </c>
      <c r="D473" s="9" t="s">
        <v>936</v>
      </c>
      <c r="E473" s="6">
        <v>45937</v>
      </c>
      <c r="F473" s="91">
        <f t="shared" si="38"/>
        <v>46326</v>
      </c>
      <c r="G473" s="80" t="s">
        <v>2062</v>
      </c>
      <c r="H473" s="78"/>
      <c r="I473" s="16" t="s">
        <v>1500</v>
      </c>
      <c r="J473" s="16"/>
      <c r="K473" s="4" t="s">
        <v>6</v>
      </c>
      <c r="L473" s="10" t="str">
        <f t="shared" ca="1" si="37"/>
        <v>Calibrado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" hidden="1" customHeight="1">
      <c r="A474" s="21">
        <v>1395</v>
      </c>
      <c r="B474" s="5" t="s">
        <v>1506</v>
      </c>
      <c r="C474" s="39" t="s">
        <v>31</v>
      </c>
      <c r="D474" s="9" t="s">
        <v>935</v>
      </c>
      <c r="E474" s="6">
        <v>45937</v>
      </c>
      <c r="F474" s="91">
        <f t="shared" si="38"/>
        <v>46326</v>
      </c>
      <c r="G474" s="80" t="s">
        <v>2062</v>
      </c>
      <c r="H474" s="78"/>
      <c r="I474" s="16" t="s">
        <v>1499</v>
      </c>
      <c r="J474" s="16"/>
      <c r="K474" s="4" t="s">
        <v>6</v>
      </c>
      <c r="L474" s="10" t="str">
        <f t="shared" ca="1" si="37"/>
        <v>Calibrado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" hidden="1" customHeight="1">
      <c r="A475" s="21" t="s">
        <v>280</v>
      </c>
      <c r="B475" s="5" t="s">
        <v>1506</v>
      </c>
      <c r="C475" s="31" t="s">
        <v>34</v>
      </c>
      <c r="D475" s="9" t="s">
        <v>104</v>
      </c>
      <c r="E475" s="6">
        <v>46027</v>
      </c>
      <c r="F475" s="91">
        <f t="shared" si="38"/>
        <v>46418</v>
      </c>
      <c r="G475" s="78"/>
      <c r="H475" s="78" t="s">
        <v>2068</v>
      </c>
      <c r="I475" s="16" t="s">
        <v>997</v>
      </c>
      <c r="J475" s="16" t="s">
        <v>1649</v>
      </c>
      <c r="K475" s="5" t="s">
        <v>6</v>
      </c>
      <c r="L475" s="10" t="str">
        <f t="shared" ca="1" si="37"/>
        <v>Calibrado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" hidden="1" customHeight="1">
      <c r="A476" s="21">
        <v>1397</v>
      </c>
      <c r="B476" s="5" t="s">
        <v>1506</v>
      </c>
      <c r="C476" s="5" t="s">
        <v>65</v>
      </c>
      <c r="D476" s="9" t="s">
        <v>848</v>
      </c>
      <c r="E476" s="6">
        <v>46122</v>
      </c>
      <c r="F476" s="91">
        <f t="shared" si="38"/>
        <v>46507</v>
      </c>
      <c r="G476" s="78"/>
      <c r="H476" s="78"/>
      <c r="I476" s="16" t="s">
        <v>1178</v>
      </c>
      <c r="J476" s="16" t="s">
        <v>1884</v>
      </c>
      <c r="K476" s="4" t="s">
        <v>6</v>
      </c>
      <c r="L476" s="10" t="str">
        <f t="shared" ca="1" si="37"/>
        <v>Calibrado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" hidden="1" customHeight="1">
      <c r="A477" s="21">
        <v>1400</v>
      </c>
      <c r="B477" s="5" t="s">
        <v>1506</v>
      </c>
      <c r="C477" s="5" t="s">
        <v>65</v>
      </c>
      <c r="D477" s="9" t="s">
        <v>847</v>
      </c>
      <c r="E477" s="6">
        <v>46125</v>
      </c>
      <c r="F477" s="91">
        <f t="shared" si="38"/>
        <v>46507</v>
      </c>
      <c r="G477" s="78"/>
      <c r="H477" s="78"/>
      <c r="I477" s="16" t="s">
        <v>1179</v>
      </c>
      <c r="J477" s="16" t="s">
        <v>1885</v>
      </c>
      <c r="K477" s="4" t="s">
        <v>6</v>
      </c>
      <c r="L477" s="10" t="str">
        <f t="shared" ca="1" si="37"/>
        <v>Calibrado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" hidden="1" customHeight="1">
      <c r="A478" s="21">
        <v>1401</v>
      </c>
      <c r="B478" s="5" t="s">
        <v>1506</v>
      </c>
      <c r="C478" s="38" t="s">
        <v>841</v>
      </c>
      <c r="D478" s="9" t="s">
        <v>849</v>
      </c>
      <c r="E478" s="6">
        <v>45903</v>
      </c>
      <c r="F478" s="91">
        <f t="shared" ref="F478:F500" si="39">EOMONTH(E478,12)</f>
        <v>46295</v>
      </c>
      <c r="G478" s="80" t="s">
        <v>2063</v>
      </c>
      <c r="H478" s="80"/>
      <c r="I478" s="16" t="s">
        <v>1440</v>
      </c>
      <c r="J478" s="16"/>
      <c r="K478" s="4" t="s">
        <v>6</v>
      </c>
      <c r="L478" s="10" t="str">
        <f t="shared" ca="1" si="37"/>
        <v>Calibrado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" hidden="1" customHeight="1">
      <c r="A479" s="21">
        <v>1402</v>
      </c>
      <c r="B479" s="5" t="s">
        <v>1506</v>
      </c>
      <c r="C479" s="38" t="s">
        <v>841</v>
      </c>
      <c r="D479" s="9">
        <v>9854748280</v>
      </c>
      <c r="E479" s="6">
        <v>46188</v>
      </c>
      <c r="F479" s="91">
        <f t="shared" si="39"/>
        <v>46568</v>
      </c>
      <c r="G479" s="78" t="s">
        <v>2062</v>
      </c>
      <c r="H479" s="78"/>
      <c r="I479" s="16" t="s">
        <v>1295</v>
      </c>
      <c r="J479" s="16" t="s">
        <v>2014</v>
      </c>
      <c r="K479" s="4" t="s">
        <v>6</v>
      </c>
      <c r="L479" s="10" t="str">
        <f t="shared" ca="1" si="37"/>
        <v>Calibrado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" hidden="1" customHeight="1">
      <c r="A480" s="21">
        <v>1403</v>
      </c>
      <c r="B480" s="5" t="s">
        <v>1506</v>
      </c>
      <c r="C480" s="38" t="s">
        <v>841</v>
      </c>
      <c r="D480" s="9" t="s">
        <v>850</v>
      </c>
      <c r="E480" s="6">
        <v>46188</v>
      </c>
      <c r="F480" s="91">
        <f t="shared" si="39"/>
        <v>46568</v>
      </c>
      <c r="G480" s="78" t="s">
        <v>2063</v>
      </c>
      <c r="H480" s="78"/>
      <c r="I480" s="16" t="s">
        <v>1296</v>
      </c>
      <c r="J480" s="16" t="s">
        <v>2015</v>
      </c>
      <c r="K480" s="4" t="s">
        <v>6</v>
      </c>
      <c r="L480" s="10" t="str">
        <f t="shared" ca="1" si="37"/>
        <v>Calibrado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" hidden="1" customHeight="1">
      <c r="A481" s="21">
        <v>1404</v>
      </c>
      <c r="B481" s="5" t="s">
        <v>1506</v>
      </c>
      <c r="C481" s="38" t="s">
        <v>841</v>
      </c>
      <c r="D481" s="9" t="s">
        <v>851</v>
      </c>
      <c r="E481" s="6">
        <v>46188</v>
      </c>
      <c r="F481" s="91">
        <f t="shared" si="39"/>
        <v>46568</v>
      </c>
      <c r="G481" s="78" t="s">
        <v>2062</v>
      </c>
      <c r="H481" s="78"/>
      <c r="I481" s="16" t="s">
        <v>1297</v>
      </c>
      <c r="J481" s="16" t="s">
        <v>2016</v>
      </c>
      <c r="K481" s="4" t="s">
        <v>6</v>
      </c>
      <c r="L481" s="10" t="str">
        <f t="shared" ca="1" si="37"/>
        <v>Calibrado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" hidden="1" customHeight="1">
      <c r="A482" s="21">
        <v>1405</v>
      </c>
      <c r="B482" s="5" t="s">
        <v>1506</v>
      </c>
      <c r="C482" s="38" t="s">
        <v>841</v>
      </c>
      <c r="D482" s="9" t="s">
        <v>852</v>
      </c>
      <c r="E482" s="6">
        <v>46246</v>
      </c>
      <c r="F482" s="91">
        <f t="shared" si="39"/>
        <v>46630</v>
      </c>
      <c r="G482" s="78"/>
      <c r="H482" s="78" t="s">
        <v>2068</v>
      </c>
      <c r="I482" s="16" t="s">
        <v>1388</v>
      </c>
      <c r="J482" s="16" t="s">
        <v>2191</v>
      </c>
      <c r="K482" s="4" t="s">
        <v>6</v>
      </c>
      <c r="L482" s="10" t="str">
        <f t="shared" ca="1" si="37"/>
        <v>Calibrado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" hidden="1" customHeight="1">
      <c r="A483" s="21">
        <v>1406</v>
      </c>
      <c r="B483" s="5" t="s">
        <v>1506</v>
      </c>
      <c r="C483" s="38" t="s">
        <v>841</v>
      </c>
      <c r="D483" s="9" t="s">
        <v>853</v>
      </c>
      <c r="E483" s="6">
        <v>46247</v>
      </c>
      <c r="F483" s="91">
        <f t="shared" si="39"/>
        <v>46630</v>
      </c>
      <c r="G483" s="78"/>
      <c r="H483" s="78" t="s">
        <v>2068</v>
      </c>
      <c r="I483" s="16" t="s">
        <v>1389</v>
      </c>
      <c r="J483" s="16" t="s">
        <v>2192</v>
      </c>
      <c r="K483" s="4" t="s">
        <v>6</v>
      </c>
      <c r="L483" s="10" t="str">
        <f t="shared" ca="1" si="37"/>
        <v>Calibrado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" hidden="1" customHeight="1">
      <c r="A484" s="21">
        <v>1407</v>
      </c>
      <c r="B484" s="5" t="s">
        <v>1506</v>
      </c>
      <c r="C484" s="38" t="s">
        <v>841</v>
      </c>
      <c r="D484" s="9" t="s">
        <v>854</v>
      </c>
      <c r="E484" s="6">
        <v>46189</v>
      </c>
      <c r="F484" s="91">
        <f t="shared" si="39"/>
        <v>46568</v>
      </c>
      <c r="G484" s="78" t="s">
        <v>2062</v>
      </c>
      <c r="H484" s="78"/>
      <c r="I484" s="16" t="s">
        <v>1300</v>
      </c>
      <c r="J484" s="16" t="s">
        <v>2017</v>
      </c>
      <c r="K484" s="4" t="s">
        <v>6</v>
      </c>
      <c r="L484" s="10" t="str">
        <f t="shared" ca="1" si="37"/>
        <v>Calibrado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" hidden="1" customHeight="1">
      <c r="A485" s="21">
        <v>1408</v>
      </c>
      <c r="B485" s="5" t="s">
        <v>1506</v>
      </c>
      <c r="C485" s="38" t="s">
        <v>841</v>
      </c>
      <c r="D485" s="9" t="s">
        <v>855</v>
      </c>
      <c r="E485" s="6">
        <v>46206</v>
      </c>
      <c r="F485" s="91">
        <f t="shared" si="39"/>
        <v>46599</v>
      </c>
      <c r="G485" s="78" t="s">
        <v>2062</v>
      </c>
      <c r="H485" s="78" t="s">
        <v>2068</v>
      </c>
      <c r="I485" s="16" t="s">
        <v>1345</v>
      </c>
      <c r="J485" s="16" t="s">
        <v>2058</v>
      </c>
      <c r="K485" s="5" t="s">
        <v>6</v>
      </c>
      <c r="L485" s="10" t="str">
        <f t="shared" ca="1" si="37"/>
        <v>Calibrado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" hidden="1" customHeight="1">
      <c r="A486" s="21">
        <v>1409</v>
      </c>
      <c r="B486" s="5" t="s">
        <v>1506</v>
      </c>
      <c r="C486" s="38" t="s">
        <v>841</v>
      </c>
      <c r="D486" s="9" t="s">
        <v>856</v>
      </c>
      <c r="E486" s="6">
        <v>46206</v>
      </c>
      <c r="F486" s="91">
        <f t="shared" si="39"/>
        <v>46599</v>
      </c>
      <c r="G486" s="78" t="s">
        <v>2063</v>
      </c>
      <c r="H486" s="78" t="s">
        <v>2068</v>
      </c>
      <c r="I486" s="16" t="s">
        <v>1346</v>
      </c>
      <c r="J486" s="16" t="s">
        <v>2059</v>
      </c>
      <c r="K486" s="4" t="s">
        <v>6</v>
      </c>
      <c r="L486" s="10" t="str">
        <f t="shared" ca="1" si="37"/>
        <v>Calibrado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" hidden="1" customHeight="1">
      <c r="A487" s="21">
        <v>1410</v>
      </c>
      <c r="B487" s="5" t="s">
        <v>1506</v>
      </c>
      <c r="C487" s="38" t="s">
        <v>841</v>
      </c>
      <c r="D487" s="9" t="s">
        <v>857</v>
      </c>
      <c r="E487" s="6">
        <v>46189</v>
      </c>
      <c r="F487" s="91">
        <f t="shared" si="39"/>
        <v>46568</v>
      </c>
      <c r="G487" s="78" t="s">
        <v>2063</v>
      </c>
      <c r="H487" s="78"/>
      <c r="I487" s="16" t="s">
        <v>1368</v>
      </c>
      <c r="J487" s="16" t="s">
        <v>2018</v>
      </c>
      <c r="K487" s="4" t="s">
        <v>6</v>
      </c>
      <c r="L487" s="10" t="str">
        <f t="shared" ca="1" si="37"/>
        <v>Calibrado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" hidden="1" customHeight="1">
      <c r="A488" s="21">
        <v>1411</v>
      </c>
      <c r="B488" s="5" t="s">
        <v>1506</v>
      </c>
      <c r="C488" s="38" t="s">
        <v>841</v>
      </c>
      <c r="D488" s="9">
        <v>9847150580</v>
      </c>
      <c r="E488" s="6">
        <v>46189</v>
      </c>
      <c r="F488" s="91">
        <f t="shared" si="39"/>
        <v>46568</v>
      </c>
      <c r="G488" s="78" t="s">
        <v>2062</v>
      </c>
      <c r="H488" s="78"/>
      <c r="I488" s="16" t="s">
        <v>1301</v>
      </c>
      <c r="J488" s="16" t="s">
        <v>2019</v>
      </c>
      <c r="K488" s="4" t="s">
        <v>6</v>
      </c>
      <c r="L488" s="10" t="str">
        <f t="shared" ca="1" si="37"/>
        <v>Calibrado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" hidden="1" customHeight="1">
      <c r="A489" s="21">
        <v>1412</v>
      </c>
      <c r="B489" s="5" t="s">
        <v>1506</v>
      </c>
      <c r="C489" s="38" t="s">
        <v>841</v>
      </c>
      <c r="D489" s="9" t="s">
        <v>858</v>
      </c>
      <c r="E489" s="6">
        <v>46247</v>
      </c>
      <c r="F489" s="91">
        <f t="shared" si="39"/>
        <v>46630</v>
      </c>
      <c r="G489" s="78"/>
      <c r="H489" s="78" t="s">
        <v>2068</v>
      </c>
      <c r="I489" s="16" t="s">
        <v>1390</v>
      </c>
      <c r="J489" s="16" t="s">
        <v>2193</v>
      </c>
      <c r="K489" s="4" t="s">
        <v>6</v>
      </c>
      <c r="L489" s="10" t="str">
        <f t="shared" ca="1" si="37"/>
        <v>Calibrado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5" hidden="1" customHeight="1">
      <c r="A490" s="21">
        <v>1413</v>
      </c>
      <c r="B490" s="5" t="s">
        <v>1506</v>
      </c>
      <c r="C490" s="38" t="s">
        <v>841</v>
      </c>
      <c r="D490" s="9" t="s">
        <v>859</v>
      </c>
      <c r="E490" s="6">
        <v>46247</v>
      </c>
      <c r="F490" s="91">
        <f t="shared" si="39"/>
        <v>46630</v>
      </c>
      <c r="G490" s="78"/>
      <c r="H490" s="78" t="s">
        <v>2068</v>
      </c>
      <c r="I490" s="16" t="s">
        <v>1391</v>
      </c>
      <c r="J490" s="16" t="s">
        <v>2194</v>
      </c>
      <c r="K490" s="4" t="s">
        <v>6</v>
      </c>
      <c r="L490" s="10" t="str">
        <f t="shared" ca="1" si="37"/>
        <v>Calibrado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5" hidden="1" customHeight="1">
      <c r="A491" s="21">
        <v>1414</v>
      </c>
      <c r="B491" s="5" t="s">
        <v>1506</v>
      </c>
      <c r="C491" s="38" t="s">
        <v>841</v>
      </c>
      <c r="D491" s="9">
        <v>9855452380</v>
      </c>
      <c r="E491" s="6">
        <v>45903</v>
      </c>
      <c r="F491" s="91">
        <f t="shared" si="39"/>
        <v>46295</v>
      </c>
      <c r="G491" s="80" t="s">
        <v>2063</v>
      </c>
      <c r="H491" s="80"/>
      <c r="I491" s="16" t="s">
        <v>1441</v>
      </c>
      <c r="J491" s="16"/>
      <c r="K491" s="4" t="s">
        <v>6</v>
      </c>
      <c r="L491" s="10" t="str">
        <f t="shared" ca="1" si="37"/>
        <v>Calibrado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" hidden="1" customHeight="1">
      <c r="A492" s="21">
        <v>1415</v>
      </c>
      <c r="B492" s="5" t="s">
        <v>1506</v>
      </c>
      <c r="C492" s="38" t="s">
        <v>841</v>
      </c>
      <c r="D492" s="9">
        <v>9859242480</v>
      </c>
      <c r="E492" s="6">
        <v>46206</v>
      </c>
      <c r="F492" s="91">
        <f t="shared" si="39"/>
        <v>46599</v>
      </c>
      <c r="G492" s="78" t="s">
        <v>2062</v>
      </c>
      <c r="H492" s="78" t="s">
        <v>2068</v>
      </c>
      <c r="I492" s="16" t="s">
        <v>1347</v>
      </c>
      <c r="J492" s="16" t="s">
        <v>2060</v>
      </c>
      <c r="K492" s="4" t="s">
        <v>6</v>
      </c>
      <c r="L492" s="10" t="str">
        <f t="shared" ca="1" si="37"/>
        <v>Calibrado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" hidden="1" customHeight="1">
      <c r="A493" s="21">
        <v>1416</v>
      </c>
      <c r="B493" s="5" t="s">
        <v>1506</v>
      </c>
      <c r="C493" s="38" t="s">
        <v>841</v>
      </c>
      <c r="D493" s="9" t="s">
        <v>860</v>
      </c>
      <c r="E493" s="6">
        <v>46190</v>
      </c>
      <c r="F493" s="91">
        <f t="shared" si="39"/>
        <v>46568</v>
      </c>
      <c r="G493" s="78" t="s">
        <v>2062</v>
      </c>
      <c r="H493" s="78"/>
      <c r="I493" s="16" t="s">
        <v>1302</v>
      </c>
      <c r="J493" s="16" t="s">
        <v>2020</v>
      </c>
      <c r="K493" s="4" t="s">
        <v>6</v>
      </c>
      <c r="L493" s="10" t="str">
        <f t="shared" ca="1" si="37"/>
        <v>Calibrado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" hidden="1" customHeight="1">
      <c r="A494" s="21">
        <v>1417</v>
      </c>
      <c r="B494" s="5" t="s">
        <v>1506</v>
      </c>
      <c r="C494" s="38" t="s">
        <v>841</v>
      </c>
      <c r="D494" s="9" t="s">
        <v>861</v>
      </c>
      <c r="E494" s="6">
        <v>46190</v>
      </c>
      <c r="F494" s="91">
        <f t="shared" si="39"/>
        <v>46568</v>
      </c>
      <c r="G494" s="78" t="s">
        <v>2062</v>
      </c>
      <c r="H494" s="78"/>
      <c r="I494" s="16" t="s">
        <v>1303</v>
      </c>
      <c r="J494" s="16" t="s">
        <v>2021</v>
      </c>
      <c r="K494" s="4" t="s">
        <v>6</v>
      </c>
      <c r="L494" s="10" t="str">
        <f t="shared" ca="1" si="37"/>
        <v>Calibrado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" hidden="1" customHeight="1">
      <c r="A495" s="21">
        <v>1418</v>
      </c>
      <c r="B495" s="5" t="s">
        <v>1506</v>
      </c>
      <c r="C495" s="38" t="s">
        <v>841</v>
      </c>
      <c r="D495" s="9" t="s">
        <v>862</v>
      </c>
      <c r="E495" s="6">
        <v>46190</v>
      </c>
      <c r="F495" s="91">
        <f t="shared" si="39"/>
        <v>46568</v>
      </c>
      <c r="G495" s="78" t="s">
        <v>2062</v>
      </c>
      <c r="H495" s="78"/>
      <c r="I495" s="16" t="s">
        <v>1304</v>
      </c>
      <c r="J495" s="16" t="s">
        <v>2022</v>
      </c>
      <c r="K495" s="4" t="s">
        <v>6</v>
      </c>
      <c r="L495" s="10" t="str">
        <f t="shared" ca="1" si="37"/>
        <v>Calibrado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" hidden="1" customHeight="1">
      <c r="A496" s="21">
        <v>1419</v>
      </c>
      <c r="B496" s="5" t="s">
        <v>1506</v>
      </c>
      <c r="C496" s="38" t="s">
        <v>841</v>
      </c>
      <c r="D496" s="9" t="s">
        <v>863</v>
      </c>
      <c r="E496" s="6">
        <v>45877</v>
      </c>
      <c r="F496" s="91">
        <f t="shared" si="39"/>
        <v>46265</v>
      </c>
      <c r="G496" s="78"/>
      <c r="H496" s="78"/>
      <c r="I496" s="16" t="s">
        <v>1392</v>
      </c>
      <c r="J496" s="16"/>
      <c r="K496" s="4" t="s">
        <v>6</v>
      </c>
      <c r="L496" s="10" t="str">
        <f t="shared" ca="1" si="37"/>
        <v>Calibrado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" hidden="1" customHeight="1">
      <c r="A497" s="21">
        <v>1420</v>
      </c>
      <c r="B497" s="5" t="s">
        <v>1506</v>
      </c>
      <c r="C497" s="38" t="s">
        <v>841</v>
      </c>
      <c r="D497" s="9">
        <v>9859412380</v>
      </c>
      <c r="E497" s="6">
        <v>45877</v>
      </c>
      <c r="F497" s="91">
        <f t="shared" si="39"/>
        <v>46265</v>
      </c>
      <c r="G497" s="78"/>
      <c r="H497" s="78"/>
      <c r="I497" s="16" t="s">
        <v>1393</v>
      </c>
      <c r="J497" s="16"/>
      <c r="K497" s="4" t="s">
        <v>6</v>
      </c>
      <c r="L497" s="10" t="str">
        <f t="shared" ca="1" si="37"/>
        <v>Calibrado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" hidden="1" customHeight="1">
      <c r="A498" s="21">
        <v>1421</v>
      </c>
      <c r="B498" s="5" t="s">
        <v>1506</v>
      </c>
      <c r="C498" s="38" t="s">
        <v>841</v>
      </c>
      <c r="D498" s="9">
        <v>9859413080</v>
      </c>
      <c r="E498" s="6">
        <v>45877</v>
      </c>
      <c r="F498" s="91">
        <f t="shared" si="39"/>
        <v>46265</v>
      </c>
      <c r="G498" s="78"/>
      <c r="H498" s="78"/>
      <c r="I498" s="16" t="s">
        <v>1394</v>
      </c>
      <c r="J498" s="16"/>
      <c r="K498" s="4" t="s">
        <v>6</v>
      </c>
      <c r="L498" s="10" t="str">
        <f t="shared" ca="1" si="37"/>
        <v>Calibrado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" hidden="1" customHeight="1">
      <c r="A499" s="21" t="s">
        <v>281</v>
      </c>
      <c r="B499" s="5" t="s">
        <v>1506</v>
      </c>
      <c r="C499" s="13" t="s">
        <v>46</v>
      </c>
      <c r="D499" s="9" t="s">
        <v>786</v>
      </c>
      <c r="E499" s="6">
        <v>46197</v>
      </c>
      <c r="F499" s="91">
        <f t="shared" si="39"/>
        <v>46568</v>
      </c>
      <c r="G499" s="78" t="s">
        <v>2063</v>
      </c>
      <c r="H499" s="78"/>
      <c r="I499" s="16" t="s">
        <v>1290</v>
      </c>
      <c r="J499" s="16" t="s">
        <v>2037</v>
      </c>
      <c r="K499" s="5" t="s">
        <v>6</v>
      </c>
      <c r="L499" s="10" t="str">
        <f t="shared" ca="1" si="37"/>
        <v>Calibrado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" hidden="1" customHeight="1">
      <c r="A500" s="21" t="s">
        <v>279</v>
      </c>
      <c r="B500" s="5" t="s">
        <v>1506</v>
      </c>
      <c r="C500" s="13" t="s">
        <v>46</v>
      </c>
      <c r="D500" s="9" t="s">
        <v>787</v>
      </c>
      <c r="E500" s="6">
        <v>46197</v>
      </c>
      <c r="F500" s="91">
        <f t="shared" si="39"/>
        <v>46568</v>
      </c>
      <c r="G500" s="78" t="s">
        <v>2063</v>
      </c>
      <c r="H500" s="78"/>
      <c r="I500" s="16" t="s">
        <v>1291</v>
      </c>
      <c r="J500" s="16" t="s">
        <v>2038</v>
      </c>
      <c r="K500" s="5" t="s">
        <v>6</v>
      </c>
      <c r="L500" s="10" t="str">
        <f t="shared" ca="1" si="37"/>
        <v>Calibrado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" hidden="1" customHeight="1">
      <c r="A501" s="20" t="s">
        <v>515</v>
      </c>
      <c r="B501" s="5" t="s">
        <v>1506</v>
      </c>
      <c r="C501" s="13" t="s">
        <v>46</v>
      </c>
      <c r="D501" s="75" t="s">
        <v>517</v>
      </c>
      <c r="E501" s="6">
        <v>45878</v>
      </c>
      <c r="F501" s="91">
        <f t="shared" ref="F501:F520" si="40">EOMONTH(E501,12)</f>
        <v>46265</v>
      </c>
      <c r="G501" s="78"/>
      <c r="H501" s="78"/>
      <c r="I501" s="16" t="s">
        <v>1396</v>
      </c>
      <c r="J501" s="16"/>
      <c r="K501" s="5" t="s">
        <v>6</v>
      </c>
      <c r="L501" s="10" t="str">
        <f t="shared" ca="1" si="37"/>
        <v>Calibrado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" hidden="1" customHeight="1">
      <c r="A502" s="21" t="s">
        <v>535</v>
      </c>
      <c r="B502" s="5" t="s">
        <v>1506</v>
      </c>
      <c r="C502" s="13" t="s">
        <v>46</v>
      </c>
      <c r="D502" s="9" t="s">
        <v>518</v>
      </c>
      <c r="E502" s="6">
        <v>45878</v>
      </c>
      <c r="F502" s="91">
        <f t="shared" si="40"/>
        <v>46265</v>
      </c>
      <c r="G502" s="78"/>
      <c r="H502" s="78"/>
      <c r="I502" s="16" t="s">
        <v>1397</v>
      </c>
      <c r="J502" s="16"/>
      <c r="K502" s="5" t="s">
        <v>6</v>
      </c>
      <c r="L502" s="10" t="str">
        <f t="shared" ca="1" si="37"/>
        <v>Calibrado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" hidden="1" customHeight="1">
      <c r="A503" s="21" t="s">
        <v>538</v>
      </c>
      <c r="B503" s="5" t="s">
        <v>1506</v>
      </c>
      <c r="C503" s="13" t="s">
        <v>46</v>
      </c>
      <c r="D503" s="9" t="s">
        <v>519</v>
      </c>
      <c r="E503" s="6">
        <v>45880</v>
      </c>
      <c r="F503" s="91">
        <f t="shared" si="40"/>
        <v>46265</v>
      </c>
      <c r="G503" s="78"/>
      <c r="H503" s="78"/>
      <c r="I503" s="16" t="s">
        <v>1398</v>
      </c>
      <c r="J503" s="16"/>
      <c r="K503" s="5" t="s">
        <v>6</v>
      </c>
      <c r="L503" s="10" t="str">
        <f t="shared" ca="1" si="37"/>
        <v>Calibrado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" hidden="1" customHeight="1">
      <c r="A504" s="21" t="s">
        <v>539</v>
      </c>
      <c r="B504" s="5" t="s">
        <v>1506</v>
      </c>
      <c r="C504" s="13" t="s">
        <v>46</v>
      </c>
      <c r="D504" s="9" t="s">
        <v>520</v>
      </c>
      <c r="E504" s="6">
        <v>45904</v>
      </c>
      <c r="F504" s="91">
        <f t="shared" si="40"/>
        <v>46295</v>
      </c>
      <c r="G504" s="80" t="s">
        <v>2062</v>
      </c>
      <c r="H504" s="80"/>
      <c r="I504" s="16" t="s">
        <v>1445</v>
      </c>
      <c r="J504" s="16"/>
      <c r="K504" s="5" t="s">
        <v>6</v>
      </c>
      <c r="L504" s="10" t="str">
        <f t="shared" ca="1" si="37"/>
        <v>Calibrado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" hidden="1" customHeight="1">
      <c r="A505" s="21" t="s">
        <v>540</v>
      </c>
      <c r="B505" s="5" t="s">
        <v>1506</v>
      </c>
      <c r="C505" s="13" t="s">
        <v>46</v>
      </c>
      <c r="D505" s="9" t="s">
        <v>521</v>
      </c>
      <c r="E505" s="6">
        <v>46198</v>
      </c>
      <c r="F505" s="91">
        <f t="shared" si="40"/>
        <v>46568</v>
      </c>
      <c r="G505" s="78" t="s">
        <v>2062</v>
      </c>
      <c r="H505" s="78"/>
      <c r="I505" s="16" t="s">
        <v>1292</v>
      </c>
      <c r="J505" s="16" t="s">
        <v>2039</v>
      </c>
      <c r="K505" s="5" t="s">
        <v>6</v>
      </c>
      <c r="L505" s="10" t="str">
        <f t="shared" ca="1" si="37"/>
        <v>Calibrado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" hidden="1" customHeight="1">
      <c r="A506" s="21" t="s">
        <v>541</v>
      </c>
      <c r="B506" s="5" t="s">
        <v>1506</v>
      </c>
      <c r="C506" s="13" t="s">
        <v>46</v>
      </c>
      <c r="D506" s="9" t="s">
        <v>522</v>
      </c>
      <c r="E506" s="6">
        <v>45880</v>
      </c>
      <c r="F506" s="91">
        <f t="shared" si="40"/>
        <v>46265</v>
      </c>
      <c r="G506" s="78"/>
      <c r="H506" s="78"/>
      <c r="I506" s="16" t="s">
        <v>1399</v>
      </c>
      <c r="J506" s="16"/>
      <c r="K506" s="5" t="s">
        <v>6</v>
      </c>
      <c r="L506" s="10" t="str">
        <f t="shared" ca="1" si="37"/>
        <v>Calibrado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" hidden="1" customHeight="1">
      <c r="A507" s="21" t="s">
        <v>542</v>
      </c>
      <c r="B507" s="5" t="s">
        <v>1506</v>
      </c>
      <c r="C507" s="13" t="s">
        <v>46</v>
      </c>
      <c r="D507" s="9" t="s">
        <v>523</v>
      </c>
      <c r="E507" s="6">
        <v>45932</v>
      </c>
      <c r="F507" s="91">
        <f t="shared" si="40"/>
        <v>46326</v>
      </c>
      <c r="G507" s="80" t="s">
        <v>2062</v>
      </c>
      <c r="H507" s="78"/>
      <c r="I507" s="16" t="s">
        <v>1491</v>
      </c>
      <c r="J507" s="16"/>
      <c r="K507" s="5" t="s">
        <v>6</v>
      </c>
      <c r="L507" s="10" t="str">
        <f t="shared" ca="1" si="37"/>
        <v>Calibrado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" hidden="1" customHeight="1">
      <c r="A508" s="21" t="s">
        <v>543</v>
      </c>
      <c r="B508" s="5" t="s">
        <v>1506</v>
      </c>
      <c r="C508" s="13" t="s">
        <v>46</v>
      </c>
      <c r="D508" s="9" t="s">
        <v>524</v>
      </c>
      <c r="E508" s="6">
        <v>45881</v>
      </c>
      <c r="F508" s="91">
        <f t="shared" si="40"/>
        <v>46265</v>
      </c>
      <c r="G508" s="78"/>
      <c r="H508" s="78"/>
      <c r="I508" s="16" t="s">
        <v>1400</v>
      </c>
      <c r="J508" s="16"/>
      <c r="K508" s="5" t="s">
        <v>6</v>
      </c>
      <c r="L508" s="10" t="str">
        <f t="shared" ca="1" si="37"/>
        <v>Calibrado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" hidden="1" customHeight="1">
      <c r="A509" s="21" t="s">
        <v>544</v>
      </c>
      <c r="B509" s="5" t="s">
        <v>1506</v>
      </c>
      <c r="C509" s="13" t="s">
        <v>46</v>
      </c>
      <c r="D509" s="9" t="s">
        <v>525</v>
      </c>
      <c r="E509" s="6">
        <v>45881</v>
      </c>
      <c r="F509" s="91">
        <f t="shared" si="40"/>
        <v>46265</v>
      </c>
      <c r="G509" s="78"/>
      <c r="H509" s="78"/>
      <c r="I509" s="16" t="s">
        <v>1401</v>
      </c>
      <c r="J509" s="16"/>
      <c r="K509" s="5" t="s">
        <v>6</v>
      </c>
      <c r="L509" s="10" t="str">
        <f t="shared" ca="1" si="37"/>
        <v>Calibrado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" hidden="1" customHeight="1">
      <c r="A510" s="21" t="s">
        <v>545</v>
      </c>
      <c r="B510" s="5" t="s">
        <v>1506</v>
      </c>
      <c r="C510" s="13" t="s">
        <v>46</v>
      </c>
      <c r="D510" s="9" t="s">
        <v>526</v>
      </c>
      <c r="E510" s="6">
        <v>46198</v>
      </c>
      <c r="F510" s="91">
        <f t="shared" si="40"/>
        <v>46568</v>
      </c>
      <c r="G510" s="78" t="s">
        <v>2063</v>
      </c>
      <c r="H510" s="78"/>
      <c r="I510" s="16" t="s">
        <v>1293</v>
      </c>
      <c r="J510" s="16" t="s">
        <v>2040</v>
      </c>
      <c r="K510" s="5" t="s">
        <v>6</v>
      </c>
      <c r="L510" s="10" t="str">
        <f t="shared" ca="1" si="37"/>
        <v>Calibrado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" hidden="1" customHeight="1">
      <c r="A511" s="21" t="s">
        <v>546</v>
      </c>
      <c r="B511" s="5" t="s">
        <v>1506</v>
      </c>
      <c r="C511" s="13" t="s">
        <v>46</v>
      </c>
      <c r="D511" s="9" t="s">
        <v>527</v>
      </c>
      <c r="E511" s="6">
        <v>45882</v>
      </c>
      <c r="F511" s="91">
        <f t="shared" si="40"/>
        <v>46265</v>
      </c>
      <c r="G511" s="78"/>
      <c r="H511" s="78"/>
      <c r="I511" s="16" t="s">
        <v>1402</v>
      </c>
      <c r="J511" s="16"/>
      <c r="K511" s="5" t="s">
        <v>6</v>
      </c>
      <c r="L511" s="10" t="str">
        <f t="shared" ca="1" si="37"/>
        <v>Calibrado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" hidden="1" customHeight="1">
      <c r="A512" s="21" t="s">
        <v>547</v>
      </c>
      <c r="B512" s="5" t="s">
        <v>1506</v>
      </c>
      <c r="C512" s="13" t="s">
        <v>46</v>
      </c>
      <c r="D512" s="9" t="s">
        <v>528</v>
      </c>
      <c r="E512" s="6">
        <v>46198</v>
      </c>
      <c r="F512" s="91">
        <f t="shared" si="40"/>
        <v>46568</v>
      </c>
      <c r="G512" s="78" t="s">
        <v>2062</v>
      </c>
      <c r="H512" s="78"/>
      <c r="I512" s="16" t="s">
        <v>1294</v>
      </c>
      <c r="J512" s="16" t="s">
        <v>2041</v>
      </c>
      <c r="K512" s="5" t="s">
        <v>6</v>
      </c>
      <c r="L512" s="10" t="str">
        <f t="shared" ca="1" si="37"/>
        <v>Calibrado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5" hidden="1" customHeight="1">
      <c r="A513" s="21" t="s">
        <v>548</v>
      </c>
      <c r="B513" s="5" t="s">
        <v>1506</v>
      </c>
      <c r="C513" s="13" t="s">
        <v>46</v>
      </c>
      <c r="D513" s="9" t="s">
        <v>529</v>
      </c>
      <c r="E513" s="6">
        <v>45933</v>
      </c>
      <c r="F513" s="91">
        <f t="shared" si="40"/>
        <v>46326</v>
      </c>
      <c r="G513" s="78" t="s">
        <v>2062</v>
      </c>
      <c r="H513" s="78"/>
      <c r="I513" s="16" t="s">
        <v>1492</v>
      </c>
      <c r="J513" s="16"/>
      <c r="K513" s="5" t="s">
        <v>6</v>
      </c>
      <c r="L513" s="10" t="str">
        <f t="shared" ca="1" si="37"/>
        <v>Calibrado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" hidden="1" customHeight="1">
      <c r="A514" s="21" t="s">
        <v>537</v>
      </c>
      <c r="B514" s="5" t="s">
        <v>1506</v>
      </c>
      <c r="C514" s="13" t="s">
        <v>46</v>
      </c>
      <c r="D514" s="9" t="s">
        <v>530</v>
      </c>
      <c r="E514" s="6">
        <v>45933</v>
      </c>
      <c r="F514" s="91">
        <f t="shared" si="40"/>
        <v>46326</v>
      </c>
      <c r="G514" s="78" t="s">
        <v>2062</v>
      </c>
      <c r="H514" s="78"/>
      <c r="I514" s="16" t="s">
        <v>1493</v>
      </c>
      <c r="J514" s="16"/>
      <c r="K514" s="5" t="s">
        <v>6</v>
      </c>
      <c r="L514" s="10" t="str">
        <f t="shared" ca="1" si="37"/>
        <v>Calibrado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" hidden="1" customHeight="1">
      <c r="A515" s="21" t="s">
        <v>536</v>
      </c>
      <c r="B515" s="5" t="s">
        <v>1506</v>
      </c>
      <c r="C515" s="13" t="s">
        <v>46</v>
      </c>
      <c r="D515" s="9" t="s">
        <v>531</v>
      </c>
      <c r="E515" s="6">
        <v>45882</v>
      </c>
      <c r="F515" s="91">
        <f t="shared" si="40"/>
        <v>46265</v>
      </c>
      <c r="G515" s="78"/>
      <c r="H515" s="78"/>
      <c r="I515" s="16" t="s">
        <v>1403</v>
      </c>
      <c r="J515" s="16"/>
      <c r="K515" s="5" t="s">
        <v>6</v>
      </c>
      <c r="L515" s="10" t="str">
        <f t="shared" ref="L515:L578" ca="1" si="41">IF(K515="TERCEIRO","TERCEIRO",IF(K515="EM MODIF.","EM MODIF.",IF(K515="INATIVO","INATIVO",IF($E515="","Desenvolvimento",IF($F515&lt;$M$1,"Atrasado","Calibrado")))))</f>
        <v>Calibrado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" hidden="1" customHeight="1">
      <c r="A516" s="21" t="s">
        <v>516</v>
      </c>
      <c r="B516" s="5" t="s">
        <v>1506</v>
      </c>
      <c r="C516" s="13" t="s">
        <v>46</v>
      </c>
      <c r="D516" s="9" t="s">
        <v>532</v>
      </c>
      <c r="E516" s="6">
        <v>46227</v>
      </c>
      <c r="F516" s="91">
        <f t="shared" si="40"/>
        <v>46599</v>
      </c>
      <c r="G516" s="78" t="s">
        <v>2062</v>
      </c>
      <c r="H516" s="78" t="s">
        <v>2068</v>
      </c>
      <c r="I516" s="16" t="s">
        <v>1343</v>
      </c>
      <c r="J516" s="16" t="s">
        <v>2118</v>
      </c>
      <c r="K516" s="5" t="s">
        <v>6</v>
      </c>
      <c r="L516" s="10" t="str">
        <f t="shared" ca="1" si="41"/>
        <v>Calibrado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" hidden="1" customHeight="1">
      <c r="A517" s="21" t="s">
        <v>514</v>
      </c>
      <c r="B517" s="5" t="s">
        <v>1506</v>
      </c>
      <c r="C517" s="13" t="s">
        <v>46</v>
      </c>
      <c r="D517" s="9" t="s">
        <v>533</v>
      </c>
      <c r="E517" s="6">
        <v>46227</v>
      </c>
      <c r="F517" s="91">
        <f t="shared" si="40"/>
        <v>46599</v>
      </c>
      <c r="G517" s="78" t="s">
        <v>2062</v>
      </c>
      <c r="H517" s="78" t="s">
        <v>2068</v>
      </c>
      <c r="I517" s="16" t="s">
        <v>1344</v>
      </c>
      <c r="J517" s="16" t="s">
        <v>2119</v>
      </c>
      <c r="K517" s="5" t="s">
        <v>6</v>
      </c>
      <c r="L517" s="10" t="str">
        <f t="shared" ca="1" si="41"/>
        <v>Calibrado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" hidden="1" customHeight="1">
      <c r="A518" s="21" t="s">
        <v>512</v>
      </c>
      <c r="B518" s="5" t="s">
        <v>1506</v>
      </c>
      <c r="C518" s="13" t="s">
        <v>46</v>
      </c>
      <c r="D518" s="9" t="s">
        <v>534</v>
      </c>
      <c r="E518" s="6">
        <v>45962</v>
      </c>
      <c r="F518" s="91">
        <f t="shared" si="40"/>
        <v>46356</v>
      </c>
      <c r="G518" s="78"/>
      <c r="H518" s="78"/>
      <c r="I518" s="16" t="s">
        <v>1557</v>
      </c>
      <c r="J518" s="16"/>
      <c r="K518" s="5" t="s">
        <v>6</v>
      </c>
      <c r="L518" s="10" t="str">
        <f t="shared" ca="1" si="41"/>
        <v>Calibrado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" hidden="1" customHeight="1">
      <c r="A519" s="21" t="s">
        <v>864</v>
      </c>
      <c r="B519" s="5" t="s">
        <v>1503</v>
      </c>
      <c r="C519" s="38" t="s">
        <v>841</v>
      </c>
      <c r="D519" s="9">
        <v>9855452380</v>
      </c>
      <c r="E519" s="6">
        <v>45903</v>
      </c>
      <c r="F519" s="91">
        <f t="shared" si="40"/>
        <v>46295</v>
      </c>
      <c r="G519" s="80" t="s">
        <v>2063</v>
      </c>
      <c r="H519" s="80"/>
      <c r="I519" s="16" t="s">
        <v>1442</v>
      </c>
      <c r="J519" s="16"/>
      <c r="K519" s="4" t="s">
        <v>6</v>
      </c>
      <c r="L519" s="10" t="str">
        <f t="shared" ca="1" si="41"/>
        <v>Calibrado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" hidden="1" customHeight="1">
      <c r="A520" s="20" t="s">
        <v>252</v>
      </c>
      <c r="B520" s="5" t="s">
        <v>1506</v>
      </c>
      <c r="C520" s="27" t="s">
        <v>105</v>
      </c>
      <c r="D520" s="9" t="s">
        <v>506</v>
      </c>
      <c r="E520" s="6">
        <v>46211</v>
      </c>
      <c r="F520" s="91">
        <f t="shared" si="40"/>
        <v>46599</v>
      </c>
      <c r="G520" s="78" t="s">
        <v>2062</v>
      </c>
      <c r="H520" s="78" t="s">
        <v>2068</v>
      </c>
      <c r="I520" s="16" t="s">
        <v>1355</v>
      </c>
      <c r="J520" s="16" t="s">
        <v>2073</v>
      </c>
      <c r="K520" s="5" t="s">
        <v>6</v>
      </c>
      <c r="L520" s="10" t="str">
        <f t="shared" ca="1" si="41"/>
        <v>Calibrado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" hidden="1" customHeight="1">
      <c r="A521" s="21">
        <v>1445</v>
      </c>
      <c r="B521" s="5" t="s">
        <v>1506</v>
      </c>
      <c r="C521" s="25" t="s">
        <v>56</v>
      </c>
      <c r="D521" s="62" t="s">
        <v>594</v>
      </c>
      <c r="E521" s="63"/>
      <c r="F521" s="63"/>
      <c r="G521" s="82"/>
      <c r="H521" s="82"/>
      <c r="I521" s="64"/>
      <c r="J521" s="64"/>
      <c r="K521" s="4" t="s">
        <v>6</v>
      </c>
      <c r="L521" s="10" t="str">
        <f t="shared" si="41"/>
        <v>Desenvolvimento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" hidden="1" customHeight="1">
      <c r="A522" s="21">
        <v>1446</v>
      </c>
      <c r="B522" s="5" t="s">
        <v>1506</v>
      </c>
      <c r="C522" s="25" t="s">
        <v>56</v>
      </c>
      <c r="D522" s="62" t="s">
        <v>595</v>
      </c>
      <c r="E522" s="63"/>
      <c r="F522" s="63"/>
      <c r="G522" s="82"/>
      <c r="H522" s="82"/>
      <c r="I522" s="64"/>
      <c r="J522" s="64"/>
      <c r="K522" s="4" t="s">
        <v>6</v>
      </c>
      <c r="L522" s="10" t="str">
        <f t="shared" si="41"/>
        <v>Desenvolvimento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5" hidden="1" customHeight="1">
      <c r="A523" s="21" t="s">
        <v>373</v>
      </c>
      <c r="B523" s="5" t="s">
        <v>1505</v>
      </c>
      <c r="C523" s="35" t="s">
        <v>60</v>
      </c>
      <c r="D523" s="59" t="s">
        <v>549</v>
      </c>
      <c r="E523" s="6">
        <v>46191</v>
      </c>
      <c r="F523" s="91">
        <f>EOMONTH(E523,12)</f>
        <v>46568</v>
      </c>
      <c r="G523" s="78" t="s">
        <v>2063</v>
      </c>
      <c r="H523" s="78"/>
      <c r="I523" s="16" t="s">
        <v>1278</v>
      </c>
      <c r="J523" s="16" t="s">
        <v>2023</v>
      </c>
      <c r="K523" s="5" t="s">
        <v>6</v>
      </c>
      <c r="L523" s="12" t="str">
        <f t="shared" ca="1" si="41"/>
        <v>Calibrado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" hidden="1" customHeight="1">
      <c r="A524" s="21" t="s">
        <v>365</v>
      </c>
      <c r="B524" s="5" t="s">
        <v>1505</v>
      </c>
      <c r="C524" s="29" t="s">
        <v>59</v>
      </c>
      <c r="D524" s="59" t="s">
        <v>550</v>
      </c>
      <c r="E524" s="6">
        <v>45983</v>
      </c>
      <c r="F524" s="91">
        <f>EOMONTH(E524,12)</f>
        <v>46356</v>
      </c>
      <c r="G524" s="78"/>
      <c r="H524" s="78"/>
      <c r="I524" s="16" t="s">
        <v>1587</v>
      </c>
      <c r="J524" s="16"/>
      <c r="K524" s="5" t="s">
        <v>6</v>
      </c>
      <c r="L524" s="10" t="str">
        <f t="shared" ca="1" si="41"/>
        <v>Calibrado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" hidden="1" customHeight="1">
      <c r="A525" s="21" t="s">
        <v>364</v>
      </c>
      <c r="B525" s="5" t="s">
        <v>1505</v>
      </c>
      <c r="C525" s="5" t="s">
        <v>65</v>
      </c>
      <c r="D525" s="59" t="s">
        <v>551</v>
      </c>
      <c r="E525" s="6">
        <v>46162</v>
      </c>
      <c r="F525" s="91">
        <f>EOMONTH(E525,12)</f>
        <v>46538</v>
      </c>
      <c r="G525" s="78"/>
      <c r="H525" s="78"/>
      <c r="I525" s="16" t="s">
        <v>1258</v>
      </c>
      <c r="J525" s="16" t="s">
        <v>1950</v>
      </c>
      <c r="K525" s="5" t="s">
        <v>6</v>
      </c>
      <c r="L525" s="10" t="str">
        <f t="shared" ca="1" si="41"/>
        <v>Calibrado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" hidden="1" customHeight="1">
      <c r="A526" s="21" t="s">
        <v>363</v>
      </c>
      <c r="B526" s="5" t="s">
        <v>1505</v>
      </c>
      <c r="C526" s="5" t="s">
        <v>65</v>
      </c>
      <c r="D526" s="59" t="s">
        <v>552</v>
      </c>
      <c r="E526" s="6">
        <v>45990</v>
      </c>
      <c r="F526" s="91">
        <f>EOMONTH(E526,12)</f>
        <v>46356</v>
      </c>
      <c r="G526" s="78"/>
      <c r="H526" s="78"/>
      <c r="I526" s="16" t="s">
        <v>1596</v>
      </c>
      <c r="J526" s="16"/>
      <c r="K526" s="5" t="s">
        <v>6</v>
      </c>
      <c r="L526" s="10" t="str">
        <f t="shared" ca="1" si="41"/>
        <v>Calibrado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" hidden="1" customHeight="1">
      <c r="A527" s="21">
        <v>1459</v>
      </c>
      <c r="B527" s="5" t="s">
        <v>1506</v>
      </c>
      <c r="C527" s="31" t="s">
        <v>34</v>
      </c>
      <c r="D527" s="62" t="s">
        <v>596</v>
      </c>
      <c r="E527" s="63"/>
      <c r="F527" s="63"/>
      <c r="G527" s="82"/>
      <c r="H527" s="82"/>
      <c r="I527" s="64"/>
      <c r="J527" s="64"/>
      <c r="K527" s="4" t="s">
        <v>6</v>
      </c>
      <c r="L527" s="10" t="str">
        <f t="shared" si="41"/>
        <v>Desenvolvimento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5" hidden="1" customHeight="1">
      <c r="A528" s="21" t="s">
        <v>493</v>
      </c>
      <c r="B528" s="5" t="s">
        <v>1504</v>
      </c>
      <c r="C528" s="39" t="s">
        <v>31</v>
      </c>
      <c r="D528" s="59" t="s">
        <v>643</v>
      </c>
      <c r="E528" s="6">
        <v>46088</v>
      </c>
      <c r="F528" s="91">
        <f>EOMONTH(E528,12)</f>
        <v>46477</v>
      </c>
      <c r="G528" s="80" t="s">
        <v>2063</v>
      </c>
      <c r="H528" s="80"/>
      <c r="I528" s="16" t="s">
        <v>1135</v>
      </c>
      <c r="J528" s="16" t="s">
        <v>1816</v>
      </c>
      <c r="K528" s="5" t="s">
        <v>6</v>
      </c>
      <c r="L528" s="10" t="str">
        <f t="shared" ca="1" si="41"/>
        <v>Calibrado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" hidden="1" customHeight="1">
      <c r="A529" s="21" t="s">
        <v>564</v>
      </c>
      <c r="B529" s="5" t="s">
        <v>1506</v>
      </c>
      <c r="C529" s="29" t="s">
        <v>59</v>
      </c>
      <c r="D529" s="59" t="s">
        <v>565</v>
      </c>
      <c r="E529" s="6">
        <v>45910</v>
      </c>
      <c r="F529" s="91">
        <f>EOMONTH(E529,12)</f>
        <v>46295</v>
      </c>
      <c r="G529" s="80" t="s">
        <v>2062</v>
      </c>
      <c r="H529" s="80"/>
      <c r="I529" s="16" t="s">
        <v>1457</v>
      </c>
      <c r="J529" s="16"/>
      <c r="K529" s="5" t="s">
        <v>6</v>
      </c>
      <c r="L529" s="10" t="str">
        <f t="shared" ca="1" si="41"/>
        <v>Calibrado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" hidden="1" customHeight="1">
      <c r="A530" s="21" t="s">
        <v>624</v>
      </c>
      <c r="B530" s="5" t="s">
        <v>1506</v>
      </c>
      <c r="C530" s="29" t="s">
        <v>59</v>
      </c>
      <c r="D530" s="59" t="s">
        <v>974</v>
      </c>
      <c r="E530" s="6">
        <v>45911</v>
      </c>
      <c r="F530" s="91">
        <f>EOMONTH(E530,12)</f>
        <v>46295</v>
      </c>
      <c r="G530" s="80" t="s">
        <v>2063</v>
      </c>
      <c r="H530" s="80"/>
      <c r="I530" s="16" t="s">
        <v>1458</v>
      </c>
      <c r="J530" s="16"/>
      <c r="K530" s="5" t="s">
        <v>6</v>
      </c>
      <c r="L530" s="10" t="str">
        <f t="shared" ca="1" si="41"/>
        <v>Calibrado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" hidden="1" customHeight="1">
      <c r="A531" s="21" t="s">
        <v>625</v>
      </c>
      <c r="B531" s="5" t="s">
        <v>1506</v>
      </c>
      <c r="C531" s="29" t="s">
        <v>59</v>
      </c>
      <c r="D531" s="59" t="s">
        <v>975</v>
      </c>
      <c r="E531" s="6">
        <v>45911</v>
      </c>
      <c r="F531" s="91">
        <f>EOMONTH(E531,12)</f>
        <v>46295</v>
      </c>
      <c r="G531" s="80" t="s">
        <v>2063</v>
      </c>
      <c r="H531" s="80"/>
      <c r="I531" s="16" t="s">
        <v>1459</v>
      </c>
      <c r="J531" s="16"/>
      <c r="K531" s="5" t="s">
        <v>6</v>
      </c>
      <c r="L531" s="10" t="str">
        <f t="shared" ca="1" si="41"/>
        <v>Calibrado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" hidden="1" customHeight="1">
      <c r="A532" s="21" t="s">
        <v>626</v>
      </c>
      <c r="B532" s="5" t="s">
        <v>1506</v>
      </c>
      <c r="C532" s="29" t="s">
        <v>59</v>
      </c>
      <c r="D532" s="59" t="s">
        <v>629</v>
      </c>
      <c r="E532" s="6">
        <v>46066</v>
      </c>
      <c r="F532" s="91">
        <f t="shared" ref="F532:F538" si="42">EOMONTH(E532,12)</f>
        <v>46446</v>
      </c>
      <c r="G532" s="80" t="s">
        <v>2062</v>
      </c>
      <c r="H532" s="78" t="s">
        <v>2068</v>
      </c>
      <c r="I532" s="16" t="s">
        <v>1077</v>
      </c>
      <c r="J532" s="16" t="s">
        <v>1778</v>
      </c>
      <c r="K532" s="5" t="s">
        <v>6</v>
      </c>
      <c r="L532" s="10" t="str">
        <f t="shared" ca="1" si="41"/>
        <v>Calibrado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" hidden="1" customHeight="1">
      <c r="A533" s="21" t="s">
        <v>627</v>
      </c>
      <c r="B533" s="5" t="s">
        <v>1506</v>
      </c>
      <c r="C533" s="29" t="s">
        <v>59</v>
      </c>
      <c r="D533" s="59" t="s">
        <v>976</v>
      </c>
      <c r="E533" s="6">
        <v>45983</v>
      </c>
      <c r="F533" s="91">
        <f t="shared" si="42"/>
        <v>46356</v>
      </c>
      <c r="G533" s="78"/>
      <c r="H533" s="78"/>
      <c r="I533" s="16" t="s">
        <v>1588</v>
      </c>
      <c r="J533" s="16"/>
      <c r="K533" s="5" t="s">
        <v>6</v>
      </c>
      <c r="L533" s="10" t="str">
        <f t="shared" ca="1" si="41"/>
        <v>Calibrado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5" hidden="1" customHeight="1">
      <c r="A534" s="21" t="s">
        <v>628</v>
      </c>
      <c r="B534" s="5" t="s">
        <v>1506</v>
      </c>
      <c r="C534" s="29" t="s">
        <v>59</v>
      </c>
      <c r="D534" s="59" t="s">
        <v>977</v>
      </c>
      <c r="E534" s="6">
        <v>46066</v>
      </c>
      <c r="F534" s="91">
        <f t="shared" si="42"/>
        <v>46446</v>
      </c>
      <c r="G534" s="80" t="s">
        <v>2062</v>
      </c>
      <c r="H534" s="78" t="s">
        <v>2068</v>
      </c>
      <c r="I534" s="16" t="s">
        <v>1078</v>
      </c>
      <c r="J534" s="16" t="s">
        <v>1779</v>
      </c>
      <c r="K534" s="5" t="s">
        <v>6</v>
      </c>
      <c r="L534" s="10" t="str">
        <f t="shared" ca="1" si="41"/>
        <v>Calibrado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" hidden="1" customHeight="1">
      <c r="A535" s="21" t="s">
        <v>366</v>
      </c>
      <c r="B535" s="5" t="s">
        <v>1505</v>
      </c>
      <c r="C535" s="5" t="s">
        <v>65</v>
      </c>
      <c r="D535" s="59" t="s">
        <v>554</v>
      </c>
      <c r="E535" s="6">
        <v>46162</v>
      </c>
      <c r="F535" s="91">
        <f t="shared" si="42"/>
        <v>46538</v>
      </c>
      <c r="G535" s="78"/>
      <c r="H535" s="78"/>
      <c r="I535" s="16" t="s">
        <v>1259</v>
      </c>
      <c r="J535" s="16" t="s">
        <v>1951</v>
      </c>
      <c r="K535" s="5" t="s">
        <v>6</v>
      </c>
      <c r="L535" s="10" t="str">
        <f t="shared" ca="1" si="41"/>
        <v>Calibrado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" hidden="1" customHeight="1">
      <c r="A536" s="21" t="s">
        <v>369</v>
      </c>
      <c r="B536" s="5" t="s">
        <v>1505</v>
      </c>
      <c r="C536" s="5" t="s">
        <v>65</v>
      </c>
      <c r="D536" s="59" t="s">
        <v>555</v>
      </c>
      <c r="E536" s="6">
        <v>46196</v>
      </c>
      <c r="F536" s="91">
        <f t="shared" si="42"/>
        <v>46568</v>
      </c>
      <c r="G536" s="78" t="s">
        <v>2063</v>
      </c>
      <c r="H536" s="78"/>
      <c r="I536" s="16" t="s">
        <v>1315</v>
      </c>
      <c r="J536" s="16" t="s">
        <v>2034</v>
      </c>
      <c r="K536" s="5" t="s">
        <v>6</v>
      </c>
      <c r="L536" s="10" t="str">
        <f t="shared" ca="1" si="41"/>
        <v>Calibrado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" hidden="1" customHeight="1">
      <c r="A537" s="21" t="s">
        <v>368</v>
      </c>
      <c r="B537" s="5" t="s">
        <v>1505</v>
      </c>
      <c r="C537" s="5" t="s">
        <v>65</v>
      </c>
      <c r="D537" s="59" t="s">
        <v>556</v>
      </c>
      <c r="E537" s="6">
        <v>46196</v>
      </c>
      <c r="F537" s="91">
        <f t="shared" si="42"/>
        <v>46568</v>
      </c>
      <c r="G537" s="78" t="s">
        <v>2063</v>
      </c>
      <c r="H537" s="78"/>
      <c r="I537" s="16" t="s">
        <v>1316</v>
      </c>
      <c r="J537" s="16" t="s">
        <v>2035</v>
      </c>
      <c r="K537" s="5" t="s">
        <v>6</v>
      </c>
      <c r="L537" s="10" t="str">
        <f t="shared" ca="1" si="41"/>
        <v>Calibrado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" hidden="1" customHeight="1">
      <c r="A538" s="21" t="s">
        <v>367</v>
      </c>
      <c r="B538" s="5" t="s">
        <v>1505</v>
      </c>
      <c r="C538" s="5" t="s">
        <v>65</v>
      </c>
      <c r="D538" s="59" t="s">
        <v>557</v>
      </c>
      <c r="E538" s="6">
        <v>45990</v>
      </c>
      <c r="F538" s="91">
        <f t="shared" si="42"/>
        <v>46356</v>
      </c>
      <c r="G538" s="78"/>
      <c r="H538" s="78"/>
      <c r="I538" s="16" t="s">
        <v>1597</v>
      </c>
      <c r="J538" s="16"/>
      <c r="K538" s="5" t="s">
        <v>6</v>
      </c>
      <c r="L538" s="10" t="str">
        <f t="shared" ca="1" si="41"/>
        <v>Calibrado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" hidden="1" customHeight="1">
      <c r="A539" s="21">
        <v>1472</v>
      </c>
      <c r="B539" s="5" t="s">
        <v>1506</v>
      </c>
      <c r="C539" s="31" t="s">
        <v>34</v>
      </c>
      <c r="D539" s="62" t="s">
        <v>597</v>
      </c>
      <c r="E539" s="63"/>
      <c r="F539" s="63"/>
      <c r="G539" s="82"/>
      <c r="H539" s="82"/>
      <c r="I539" s="64"/>
      <c r="J539" s="64"/>
      <c r="K539" s="4" t="s">
        <v>6</v>
      </c>
      <c r="L539" s="10" t="str">
        <f t="shared" si="41"/>
        <v>Desenvolvimento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" hidden="1" customHeight="1">
      <c r="A540" s="21">
        <v>1473</v>
      </c>
      <c r="B540" s="5" t="s">
        <v>1506</v>
      </c>
      <c r="C540" s="31" t="s">
        <v>34</v>
      </c>
      <c r="D540" s="62" t="s">
        <v>598</v>
      </c>
      <c r="E540" s="63"/>
      <c r="F540" s="63"/>
      <c r="G540" s="82"/>
      <c r="H540" s="82"/>
      <c r="I540" s="64"/>
      <c r="J540" s="64"/>
      <c r="K540" s="4" t="s">
        <v>6</v>
      </c>
      <c r="L540" s="10" t="str">
        <f t="shared" si="41"/>
        <v>Desenvolvimento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" hidden="1" customHeight="1">
      <c r="A541" s="21">
        <v>1475</v>
      </c>
      <c r="B541" s="5" t="s">
        <v>1506</v>
      </c>
      <c r="C541" s="25" t="s">
        <v>56</v>
      </c>
      <c r="D541" s="62" t="s">
        <v>599</v>
      </c>
      <c r="E541" s="63"/>
      <c r="F541" s="63"/>
      <c r="G541" s="82"/>
      <c r="H541" s="82"/>
      <c r="I541" s="64"/>
      <c r="J541" s="64"/>
      <c r="K541" s="4" t="s">
        <v>6</v>
      </c>
      <c r="L541" s="10" t="str">
        <f t="shared" si="41"/>
        <v>Desenvolvimento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" hidden="1" customHeight="1">
      <c r="A542" s="21">
        <v>1476</v>
      </c>
      <c r="B542" s="5" t="s">
        <v>1506</v>
      </c>
      <c r="C542" s="25" t="s">
        <v>56</v>
      </c>
      <c r="D542" s="62" t="s">
        <v>600</v>
      </c>
      <c r="E542" s="63"/>
      <c r="F542" s="63"/>
      <c r="G542" s="82"/>
      <c r="H542" s="82"/>
      <c r="I542" s="64"/>
      <c r="J542" s="64"/>
      <c r="K542" s="4" t="s">
        <v>6</v>
      </c>
      <c r="L542" s="10" t="str">
        <f t="shared" si="41"/>
        <v>Desenvolvimento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" hidden="1" customHeight="1">
      <c r="A543" s="21">
        <v>1477</v>
      </c>
      <c r="B543" s="5" t="s">
        <v>1506</v>
      </c>
      <c r="C543" s="25" t="s">
        <v>56</v>
      </c>
      <c r="D543" s="62" t="s">
        <v>601</v>
      </c>
      <c r="E543" s="63"/>
      <c r="F543" s="63"/>
      <c r="G543" s="82"/>
      <c r="H543" s="82"/>
      <c r="I543" s="64"/>
      <c r="J543" s="64"/>
      <c r="K543" s="4" t="s">
        <v>6</v>
      </c>
      <c r="L543" s="10" t="str">
        <f t="shared" si="41"/>
        <v>Desenvolvimento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" hidden="1" customHeight="1">
      <c r="A544" s="21" t="s">
        <v>513</v>
      </c>
      <c r="B544" s="5" t="s">
        <v>1503</v>
      </c>
      <c r="C544" s="13" t="s">
        <v>46</v>
      </c>
      <c r="D544" s="9" t="s">
        <v>788</v>
      </c>
      <c r="E544" s="6">
        <v>45999</v>
      </c>
      <c r="F544" s="91">
        <f>EOMONTH(E544,12)</f>
        <v>46387</v>
      </c>
      <c r="G544" s="78"/>
      <c r="H544" s="78"/>
      <c r="I544" s="16" t="s">
        <v>1614</v>
      </c>
      <c r="J544" s="16"/>
      <c r="K544" s="4" t="s">
        <v>6</v>
      </c>
      <c r="L544" s="10" t="str">
        <f t="shared" ca="1" si="41"/>
        <v>Calibrado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" hidden="1" customHeight="1">
      <c r="A545" s="21">
        <v>1479</v>
      </c>
      <c r="B545" s="5" t="s">
        <v>1506</v>
      </c>
      <c r="C545" s="31" t="s">
        <v>34</v>
      </c>
      <c r="D545" s="62" t="s">
        <v>602</v>
      </c>
      <c r="E545" s="63"/>
      <c r="F545" s="63"/>
      <c r="G545" s="82"/>
      <c r="H545" s="82"/>
      <c r="I545" s="64"/>
      <c r="J545" s="64"/>
      <c r="K545" s="4" t="s">
        <v>6</v>
      </c>
      <c r="L545" s="10" t="str">
        <f t="shared" si="41"/>
        <v>Desenvolvimento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" hidden="1" customHeight="1">
      <c r="A546" s="21" t="s">
        <v>630</v>
      </c>
      <c r="B546" s="5" t="s">
        <v>1506</v>
      </c>
      <c r="C546" s="29" t="s">
        <v>59</v>
      </c>
      <c r="D546" s="59" t="s">
        <v>631</v>
      </c>
      <c r="E546" s="6">
        <v>46001</v>
      </c>
      <c r="F546" s="91">
        <f t="shared" ref="F546:F554" si="43">EOMONTH(E546,12)</f>
        <v>46387</v>
      </c>
      <c r="G546" s="78"/>
      <c r="H546" s="78"/>
      <c r="I546" s="16" t="s">
        <v>1619</v>
      </c>
      <c r="J546" s="16"/>
      <c r="K546" s="5" t="s">
        <v>6</v>
      </c>
      <c r="L546" s="10" t="str">
        <f t="shared" ca="1" si="41"/>
        <v>Calibrado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" hidden="1" customHeight="1">
      <c r="A547" s="21" t="s">
        <v>865</v>
      </c>
      <c r="B547" s="5" t="s">
        <v>1505</v>
      </c>
      <c r="C547" s="42" t="s">
        <v>7</v>
      </c>
      <c r="D547" s="59" t="s">
        <v>553</v>
      </c>
      <c r="E547" s="6">
        <v>46169</v>
      </c>
      <c r="F547" s="91">
        <f t="shared" si="43"/>
        <v>46538</v>
      </c>
      <c r="G547" s="78"/>
      <c r="H547" s="78"/>
      <c r="I547" s="16" t="s">
        <v>1239</v>
      </c>
      <c r="J547" s="16" t="s">
        <v>1978</v>
      </c>
      <c r="K547" s="5" t="s">
        <v>6</v>
      </c>
      <c r="L547" s="10" t="str">
        <f t="shared" ca="1" si="41"/>
        <v>Calibrado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" hidden="1" customHeight="1">
      <c r="A548" s="21">
        <v>1484</v>
      </c>
      <c r="B548" s="5" t="s">
        <v>1503</v>
      </c>
      <c r="C548" s="5" t="s">
        <v>65</v>
      </c>
      <c r="D548" s="8">
        <v>552597070</v>
      </c>
      <c r="E548" s="6">
        <v>46010</v>
      </c>
      <c r="F548" s="91">
        <f t="shared" si="43"/>
        <v>46387</v>
      </c>
      <c r="G548" s="78"/>
      <c r="H548" s="78"/>
      <c r="I548" s="16" t="s">
        <v>1642</v>
      </c>
      <c r="J548" s="16"/>
      <c r="K548" s="5" t="s">
        <v>6</v>
      </c>
      <c r="L548" s="10" t="str">
        <f t="shared" ca="1" si="41"/>
        <v>Calibrado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" hidden="1" customHeight="1">
      <c r="A549" s="21">
        <v>1485</v>
      </c>
      <c r="B549" s="5" t="s">
        <v>1506</v>
      </c>
      <c r="C549" s="5" t="s">
        <v>65</v>
      </c>
      <c r="D549" s="9">
        <v>522349530</v>
      </c>
      <c r="E549" s="6">
        <v>46125</v>
      </c>
      <c r="F549" s="91">
        <f t="shared" si="43"/>
        <v>46507</v>
      </c>
      <c r="G549" s="78"/>
      <c r="H549" s="78"/>
      <c r="I549" s="16" t="s">
        <v>1180</v>
      </c>
      <c r="J549" s="16" t="s">
        <v>1886</v>
      </c>
      <c r="K549" s="5" t="s">
        <v>6</v>
      </c>
      <c r="L549" s="10" t="str">
        <f t="shared" ca="1" si="41"/>
        <v>Calibrado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" hidden="1" customHeight="1">
      <c r="A550" s="21" t="s">
        <v>984</v>
      </c>
      <c r="B550" s="5" t="s">
        <v>1506</v>
      </c>
      <c r="C550" s="5" t="s">
        <v>65</v>
      </c>
      <c r="D550" s="9">
        <v>522401200</v>
      </c>
      <c r="E550" s="6">
        <v>46125</v>
      </c>
      <c r="F550" s="91">
        <f t="shared" si="43"/>
        <v>46507</v>
      </c>
      <c r="G550" s="78"/>
      <c r="H550" s="78"/>
      <c r="I550" s="16" t="s">
        <v>1181</v>
      </c>
      <c r="J550" s="16" t="s">
        <v>1887</v>
      </c>
      <c r="K550" s="5" t="s">
        <v>6</v>
      </c>
      <c r="L550" s="10" t="str">
        <f t="shared" ca="1" si="41"/>
        <v>Calibrado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" hidden="1" customHeight="1">
      <c r="A551" s="21">
        <v>1495</v>
      </c>
      <c r="B551" s="5" t="s">
        <v>1506</v>
      </c>
      <c r="C551" s="5" t="s">
        <v>65</v>
      </c>
      <c r="D551" s="9">
        <v>463576070</v>
      </c>
      <c r="E551" s="6">
        <v>46126</v>
      </c>
      <c r="F551" s="91">
        <f t="shared" si="43"/>
        <v>46507</v>
      </c>
      <c r="G551" s="78"/>
      <c r="H551" s="78"/>
      <c r="I551" s="16" t="s">
        <v>1182</v>
      </c>
      <c r="J551" s="16" t="s">
        <v>1888</v>
      </c>
      <c r="K551" s="5" t="s">
        <v>6</v>
      </c>
      <c r="L551" s="10" t="str">
        <f t="shared" ca="1" si="41"/>
        <v>Calibrado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" hidden="1" customHeight="1">
      <c r="A552" s="21">
        <v>1496</v>
      </c>
      <c r="B552" s="5" t="s">
        <v>1506</v>
      </c>
      <c r="C552" s="5" t="s">
        <v>65</v>
      </c>
      <c r="D552" s="9">
        <v>463576080</v>
      </c>
      <c r="E552" s="6">
        <v>46126</v>
      </c>
      <c r="F552" s="91">
        <f t="shared" si="43"/>
        <v>46507</v>
      </c>
      <c r="G552" s="78"/>
      <c r="H552" s="78"/>
      <c r="I552" s="16" t="s">
        <v>1183</v>
      </c>
      <c r="J552" s="16" t="s">
        <v>1889</v>
      </c>
      <c r="K552" s="5" t="s">
        <v>6</v>
      </c>
      <c r="L552" s="10" t="str">
        <f t="shared" ca="1" si="41"/>
        <v>Calibrado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" hidden="1" customHeight="1">
      <c r="A553" s="21">
        <v>1497</v>
      </c>
      <c r="B553" s="5" t="s">
        <v>1506</v>
      </c>
      <c r="C553" s="5" t="s">
        <v>65</v>
      </c>
      <c r="D553" s="9">
        <v>463576090</v>
      </c>
      <c r="E553" s="6">
        <v>46127</v>
      </c>
      <c r="F553" s="91">
        <f t="shared" si="43"/>
        <v>46507</v>
      </c>
      <c r="G553" s="78"/>
      <c r="H553" s="78"/>
      <c r="I553" s="16" t="s">
        <v>1184</v>
      </c>
      <c r="J553" s="16" t="s">
        <v>1890</v>
      </c>
      <c r="K553" s="5" t="s">
        <v>6</v>
      </c>
      <c r="L553" s="10" t="str">
        <f t="shared" ca="1" si="41"/>
        <v>Calibrado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" hidden="1" customHeight="1">
      <c r="A554" s="21">
        <v>1498</v>
      </c>
      <c r="B554" s="5" t="s">
        <v>1506</v>
      </c>
      <c r="C554" s="5" t="s">
        <v>65</v>
      </c>
      <c r="D554" s="9">
        <v>463576110</v>
      </c>
      <c r="E554" s="6">
        <v>46127</v>
      </c>
      <c r="F554" s="91">
        <f t="shared" si="43"/>
        <v>46507</v>
      </c>
      <c r="G554" s="78"/>
      <c r="H554" s="78"/>
      <c r="I554" s="16" t="s">
        <v>1185</v>
      </c>
      <c r="J554" s="16" t="s">
        <v>1891</v>
      </c>
      <c r="K554" s="5" t="s">
        <v>6</v>
      </c>
      <c r="L554" s="10" t="str">
        <f t="shared" ca="1" si="41"/>
        <v>Calibrado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" hidden="1" customHeight="1">
      <c r="A555" s="21">
        <v>1503</v>
      </c>
      <c r="B555" s="5" t="s">
        <v>1506</v>
      </c>
      <c r="C555" s="5" t="s">
        <v>65</v>
      </c>
      <c r="D555" s="9">
        <v>522334170</v>
      </c>
      <c r="E555" s="6">
        <v>46162</v>
      </c>
      <c r="F555" s="91">
        <f>EOMONTH(E555,12)</f>
        <v>46538</v>
      </c>
      <c r="G555" s="78"/>
      <c r="H555" s="78"/>
      <c r="I555" s="16" t="s">
        <v>1260</v>
      </c>
      <c r="J555" s="16" t="s">
        <v>1952</v>
      </c>
      <c r="K555" s="5" t="s">
        <v>6</v>
      </c>
      <c r="L555" s="10" t="str">
        <f t="shared" ca="1" si="41"/>
        <v>Calibrado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" hidden="1" customHeight="1">
      <c r="A556" s="21">
        <v>1504</v>
      </c>
      <c r="B556" s="5" t="s">
        <v>1506</v>
      </c>
      <c r="C556" s="5" t="s">
        <v>65</v>
      </c>
      <c r="D556" s="9">
        <v>463587450</v>
      </c>
      <c r="E556" s="6">
        <v>46163</v>
      </c>
      <c r="F556" s="91">
        <f>EOMONTH(E556,12)</f>
        <v>46538</v>
      </c>
      <c r="G556" s="78"/>
      <c r="H556" s="78"/>
      <c r="I556" s="16" t="s">
        <v>1261</v>
      </c>
      <c r="J556" s="16" t="s">
        <v>1961</v>
      </c>
      <c r="K556" s="5" t="s">
        <v>6</v>
      </c>
      <c r="L556" s="10" t="str">
        <f t="shared" ca="1" si="41"/>
        <v>Calibrado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" hidden="1" customHeight="1">
      <c r="A557" s="21">
        <v>1505</v>
      </c>
      <c r="B557" s="5" t="s">
        <v>1506</v>
      </c>
      <c r="C557" s="5" t="s">
        <v>65</v>
      </c>
      <c r="D557" s="59">
        <v>463587430</v>
      </c>
      <c r="E557" s="6">
        <v>46163</v>
      </c>
      <c r="F557" s="91">
        <f>EOMONTH(E557,12)</f>
        <v>46538</v>
      </c>
      <c r="G557" s="78"/>
      <c r="H557" s="78"/>
      <c r="I557" s="16" t="s">
        <v>1262</v>
      </c>
      <c r="J557" s="16" t="s">
        <v>1962</v>
      </c>
      <c r="K557" s="5" t="s">
        <v>6</v>
      </c>
      <c r="L557" s="10" t="str">
        <f t="shared" ca="1" si="41"/>
        <v>Calibrado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" hidden="1" customHeight="1">
      <c r="A558" s="21" t="s">
        <v>866</v>
      </c>
      <c r="B558" s="5" t="s">
        <v>1506</v>
      </c>
      <c r="C558" s="42" t="s">
        <v>7</v>
      </c>
      <c r="D558" s="70">
        <v>52186055</v>
      </c>
      <c r="E558" s="6">
        <v>46004</v>
      </c>
      <c r="F558" s="91">
        <f t="shared" ref="F558:F568" si="44">EOMONTH(E558,12)</f>
        <v>46387</v>
      </c>
      <c r="G558" s="78"/>
      <c r="H558" s="78"/>
      <c r="I558" s="16" t="s">
        <v>1629</v>
      </c>
      <c r="J558" s="16"/>
      <c r="K558" s="5" t="s">
        <v>6</v>
      </c>
      <c r="L558" s="10" t="str">
        <f t="shared" ca="1" si="41"/>
        <v>Calibrado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" hidden="1" customHeight="1">
      <c r="A559" s="21">
        <v>1508</v>
      </c>
      <c r="B559" s="5" t="s">
        <v>1506</v>
      </c>
      <c r="C559" s="39" t="s">
        <v>31</v>
      </c>
      <c r="D559" s="9" t="s">
        <v>867</v>
      </c>
      <c r="E559" s="6">
        <v>46118</v>
      </c>
      <c r="F559" s="91">
        <f t="shared" si="44"/>
        <v>46507</v>
      </c>
      <c r="G559" s="78"/>
      <c r="H559" s="78"/>
      <c r="I559" s="16" t="s">
        <v>1209</v>
      </c>
      <c r="J559" s="16" t="s">
        <v>1870</v>
      </c>
      <c r="K559" s="5" t="s">
        <v>6</v>
      </c>
      <c r="L559" s="10" t="str">
        <f t="shared" ca="1" si="41"/>
        <v>Calibrado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" hidden="1" customHeight="1">
      <c r="A560" s="21">
        <v>1509</v>
      </c>
      <c r="B560" s="5" t="s">
        <v>1506</v>
      </c>
      <c r="C560" s="39" t="s">
        <v>31</v>
      </c>
      <c r="D560" s="9" t="s">
        <v>868</v>
      </c>
      <c r="E560" s="6">
        <v>46118</v>
      </c>
      <c r="F560" s="91">
        <f t="shared" si="44"/>
        <v>46507</v>
      </c>
      <c r="G560" s="78"/>
      <c r="H560" s="78"/>
      <c r="I560" s="16" t="s">
        <v>1210</v>
      </c>
      <c r="J560" s="16" t="s">
        <v>1871</v>
      </c>
      <c r="K560" s="5" t="s">
        <v>6</v>
      </c>
      <c r="L560" s="10" t="str">
        <f t="shared" ca="1" si="41"/>
        <v>Calibrado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" hidden="1" customHeight="1">
      <c r="A561" s="21">
        <v>1510</v>
      </c>
      <c r="B561" s="5" t="s">
        <v>1506</v>
      </c>
      <c r="C561" s="39" t="s">
        <v>31</v>
      </c>
      <c r="D561" s="9" t="s">
        <v>939</v>
      </c>
      <c r="E561" s="6">
        <v>46090</v>
      </c>
      <c r="F561" s="91">
        <f t="shared" si="44"/>
        <v>46477</v>
      </c>
      <c r="G561" s="80" t="s">
        <v>2062</v>
      </c>
      <c r="H561" s="80"/>
      <c r="I561" s="16" t="s">
        <v>1136</v>
      </c>
      <c r="J561" s="16" t="s">
        <v>1817</v>
      </c>
      <c r="K561" s="5" t="s">
        <v>6</v>
      </c>
      <c r="L561" s="10" t="str">
        <f t="shared" ca="1" si="41"/>
        <v>Calibrado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" hidden="1" customHeight="1">
      <c r="A562" s="21">
        <v>1511</v>
      </c>
      <c r="B562" s="5" t="s">
        <v>1506</v>
      </c>
      <c r="C562" s="39" t="s">
        <v>31</v>
      </c>
      <c r="D562" s="8" t="s">
        <v>869</v>
      </c>
      <c r="E562" s="6">
        <v>46185</v>
      </c>
      <c r="F562" s="91">
        <f t="shared" si="44"/>
        <v>46568</v>
      </c>
      <c r="G562" s="78" t="s">
        <v>2062</v>
      </c>
      <c r="H562" s="78"/>
      <c r="I562" s="16" t="s">
        <v>1281</v>
      </c>
      <c r="J562" s="16" t="s">
        <v>2012</v>
      </c>
      <c r="K562" s="5" t="s">
        <v>6</v>
      </c>
      <c r="L562" s="10" t="str">
        <f t="shared" ca="1" si="41"/>
        <v>Calibrado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" hidden="1" customHeight="1">
      <c r="A563" s="21">
        <v>1512</v>
      </c>
      <c r="B563" s="5" t="s">
        <v>1506</v>
      </c>
      <c r="C563" s="39" t="s">
        <v>31</v>
      </c>
      <c r="D563" s="8" t="s">
        <v>870</v>
      </c>
      <c r="E563" s="6">
        <v>46185</v>
      </c>
      <c r="F563" s="91">
        <f t="shared" si="44"/>
        <v>46568</v>
      </c>
      <c r="G563" s="78" t="s">
        <v>2062</v>
      </c>
      <c r="H563" s="78"/>
      <c r="I563" s="16" t="s">
        <v>1282</v>
      </c>
      <c r="J563" s="16" t="s">
        <v>2013</v>
      </c>
      <c r="K563" s="5" t="s">
        <v>6</v>
      </c>
      <c r="L563" s="10" t="str">
        <f t="shared" ca="1" si="41"/>
        <v>Calibrado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" hidden="1" customHeight="1">
      <c r="A564" s="21">
        <v>1513</v>
      </c>
      <c r="B564" s="5" t="s">
        <v>1506</v>
      </c>
      <c r="C564" s="39" t="s">
        <v>31</v>
      </c>
      <c r="D564" s="59" t="s">
        <v>871</v>
      </c>
      <c r="E564" s="6">
        <v>46090</v>
      </c>
      <c r="F564" s="91">
        <f t="shared" si="44"/>
        <v>46477</v>
      </c>
      <c r="G564" s="80" t="s">
        <v>2062</v>
      </c>
      <c r="H564" s="80"/>
      <c r="I564" s="16" t="s">
        <v>1137</v>
      </c>
      <c r="J564" s="16" t="s">
        <v>1818</v>
      </c>
      <c r="K564" s="5" t="s">
        <v>6</v>
      </c>
      <c r="L564" s="10" t="str">
        <f t="shared" ca="1" si="41"/>
        <v>Calibrado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" hidden="1" customHeight="1">
      <c r="A565" s="21">
        <v>1514</v>
      </c>
      <c r="B565" s="5" t="s">
        <v>1506</v>
      </c>
      <c r="C565" s="39" t="s">
        <v>31</v>
      </c>
      <c r="D565" s="70" t="s">
        <v>987</v>
      </c>
      <c r="E565" s="6">
        <v>46072</v>
      </c>
      <c r="F565" s="91">
        <f t="shared" si="44"/>
        <v>46446</v>
      </c>
      <c r="G565" s="80" t="s">
        <v>2062</v>
      </c>
      <c r="H565" s="78" t="s">
        <v>2068</v>
      </c>
      <c r="I565" s="16" t="s">
        <v>1066</v>
      </c>
      <c r="J565" s="16" t="s">
        <v>1785</v>
      </c>
      <c r="K565" s="5" t="s">
        <v>6</v>
      </c>
      <c r="L565" s="10" t="str">
        <f t="shared" ca="1" si="41"/>
        <v>Calibrado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" hidden="1" customHeight="1">
      <c r="A566" s="21">
        <v>1515</v>
      </c>
      <c r="B566" s="5" t="s">
        <v>1506</v>
      </c>
      <c r="C566" s="39" t="s">
        <v>31</v>
      </c>
      <c r="D566" s="8" t="s">
        <v>986</v>
      </c>
      <c r="E566" s="6">
        <v>46072</v>
      </c>
      <c r="F566" s="91">
        <f t="shared" si="44"/>
        <v>46446</v>
      </c>
      <c r="G566" s="80" t="s">
        <v>2062</v>
      </c>
      <c r="H566" s="78" t="s">
        <v>2068</v>
      </c>
      <c r="I566" s="16" t="s">
        <v>1067</v>
      </c>
      <c r="J566" s="16" t="s">
        <v>1786</v>
      </c>
      <c r="K566" s="5" t="s">
        <v>6</v>
      </c>
      <c r="L566" s="10" t="str">
        <f t="shared" ca="1" si="41"/>
        <v>Calibrado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" hidden="1" customHeight="1">
      <c r="A567" s="21">
        <v>1516</v>
      </c>
      <c r="B567" s="5" t="s">
        <v>1506</v>
      </c>
      <c r="C567" s="39" t="s">
        <v>31</v>
      </c>
      <c r="D567" s="9" t="s">
        <v>872</v>
      </c>
      <c r="E567" s="6">
        <v>46153</v>
      </c>
      <c r="F567" s="91">
        <f t="shared" si="44"/>
        <v>46538</v>
      </c>
      <c r="G567" s="78"/>
      <c r="H567" s="78"/>
      <c r="I567" s="16" t="s">
        <v>1267</v>
      </c>
      <c r="J567" s="16" t="s">
        <v>1933</v>
      </c>
      <c r="K567" s="5" t="s">
        <v>6</v>
      </c>
      <c r="L567" s="10" t="str">
        <f t="shared" ca="1" si="41"/>
        <v>Calibrado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" hidden="1" customHeight="1">
      <c r="A568" s="21">
        <v>1517</v>
      </c>
      <c r="B568" s="5" t="s">
        <v>1506</v>
      </c>
      <c r="C568" s="39" t="s">
        <v>31</v>
      </c>
      <c r="D568" s="9" t="s">
        <v>873</v>
      </c>
      <c r="E568" s="6">
        <v>46153</v>
      </c>
      <c r="F568" s="91">
        <f t="shared" si="44"/>
        <v>46538</v>
      </c>
      <c r="G568" s="78"/>
      <c r="H568" s="78"/>
      <c r="I568" s="16" t="s">
        <v>1268</v>
      </c>
      <c r="J568" s="16" t="s">
        <v>1934</v>
      </c>
      <c r="K568" s="5" t="s">
        <v>6</v>
      </c>
      <c r="L568" s="10" t="str">
        <f t="shared" ca="1" si="41"/>
        <v>Calibrado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" hidden="1" customHeight="1">
      <c r="A569" s="21">
        <v>1518</v>
      </c>
      <c r="B569" s="5" t="s">
        <v>1506</v>
      </c>
      <c r="C569" s="39" t="s">
        <v>31</v>
      </c>
      <c r="D569" s="9" t="s">
        <v>874</v>
      </c>
      <c r="E569" s="6">
        <v>46091</v>
      </c>
      <c r="F569" s="91">
        <f t="shared" ref="F569:F578" si="45">EOMONTH(E569,12)</f>
        <v>46477</v>
      </c>
      <c r="G569" s="80" t="s">
        <v>2063</v>
      </c>
      <c r="H569" s="80"/>
      <c r="I569" s="16" t="s">
        <v>1138</v>
      </c>
      <c r="J569" s="16" t="s">
        <v>1819</v>
      </c>
      <c r="K569" s="5" t="s">
        <v>6</v>
      </c>
      <c r="L569" s="10" t="str">
        <f t="shared" ca="1" si="41"/>
        <v>Calibrado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" hidden="1" customHeight="1">
      <c r="A570" s="21">
        <v>1519</v>
      </c>
      <c r="B570" s="5" t="s">
        <v>1506</v>
      </c>
      <c r="C570" s="39" t="s">
        <v>31</v>
      </c>
      <c r="D570" s="9" t="s">
        <v>875</v>
      </c>
      <c r="E570" s="6">
        <v>46091</v>
      </c>
      <c r="F570" s="91">
        <f t="shared" si="45"/>
        <v>46477</v>
      </c>
      <c r="G570" s="80" t="s">
        <v>2062</v>
      </c>
      <c r="H570" s="80"/>
      <c r="I570" s="16" t="s">
        <v>1139</v>
      </c>
      <c r="J570" s="16" t="s">
        <v>1820</v>
      </c>
      <c r="K570" s="5" t="s">
        <v>6</v>
      </c>
      <c r="L570" s="10" t="str">
        <f t="shared" ca="1" si="41"/>
        <v>Calibrado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" hidden="1" customHeight="1">
      <c r="A571" s="21">
        <v>1520</v>
      </c>
      <c r="B571" s="5" t="s">
        <v>1506</v>
      </c>
      <c r="C571" s="39" t="s">
        <v>31</v>
      </c>
      <c r="D571" s="9" t="s">
        <v>876</v>
      </c>
      <c r="E571" s="6">
        <v>46092</v>
      </c>
      <c r="F571" s="91">
        <f t="shared" si="45"/>
        <v>46477</v>
      </c>
      <c r="G571" s="80" t="s">
        <v>2062</v>
      </c>
      <c r="H571" s="80"/>
      <c r="I571" s="16" t="s">
        <v>1140</v>
      </c>
      <c r="J571" s="16" t="s">
        <v>1821</v>
      </c>
      <c r="K571" s="5" t="s">
        <v>6</v>
      </c>
      <c r="L571" s="10" t="str">
        <f t="shared" ca="1" si="41"/>
        <v>Calibrado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" hidden="1" customHeight="1">
      <c r="A572" s="21">
        <v>1521</v>
      </c>
      <c r="B572" s="5" t="s">
        <v>1506</v>
      </c>
      <c r="C572" s="39" t="s">
        <v>31</v>
      </c>
      <c r="D572" s="9" t="s">
        <v>877</v>
      </c>
      <c r="E572" s="6">
        <v>46092</v>
      </c>
      <c r="F572" s="91">
        <f t="shared" si="45"/>
        <v>46477</v>
      </c>
      <c r="G572" s="80" t="s">
        <v>2062</v>
      </c>
      <c r="H572" s="80"/>
      <c r="I572" s="16" t="s">
        <v>1141</v>
      </c>
      <c r="J572" s="16" t="s">
        <v>1822</v>
      </c>
      <c r="K572" s="5" t="s">
        <v>6</v>
      </c>
      <c r="L572" s="10" t="str">
        <f t="shared" ca="1" si="41"/>
        <v>Calibrado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" hidden="1" customHeight="1">
      <c r="A573" s="21">
        <v>1522</v>
      </c>
      <c r="B573" s="5" t="s">
        <v>1506</v>
      </c>
      <c r="C573" s="39" t="s">
        <v>31</v>
      </c>
      <c r="D573" s="59" t="s">
        <v>878</v>
      </c>
      <c r="E573" s="6">
        <v>46093</v>
      </c>
      <c r="F573" s="91">
        <f t="shared" si="45"/>
        <v>46477</v>
      </c>
      <c r="G573" s="80" t="s">
        <v>2062</v>
      </c>
      <c r="H573" s="80"/>
      <c r="I573" s="16" t="s">
        <v>1142</v>
      </c>
      <c r="J573" s="16" t="s">
        <v>1823</v>
      </c>
      <c r="K573" s="5" t="s">
        <v>6</v>
      </c>
      <c r="L573" s="10" t="str">
        <f t="shared" ca="1" si="41"/>
        <v>Calibrado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" hidden="1" customHeight="1">
      <c r="A574" s="21">
        <v>1523</v>
      </c>
      <c r="B574" s="5" t="s">
        <v>1506</v>
      </c>
      <c r="C574" s="39" t="s">
        <v>31</v>
      </c>
      <c r="D574" s="59" t="s">
        <v>879</v>
      </c>
      <c r="E574" s="6">
        <v>46118</v>
      </c>
      <c r="F574" s="91">
        <f t="shared" si="45"/>
        <v>46507</v>
      </c>
      <c r="G574" s="78"/>
      <c r="H574" s="78"/>
      <c r="I574" s="16" t="s">
        <v>1211</v>
      </c>
      <c r="J574" s="16" t="s">
        <v>1872</v>
      </c>
      <c r="K574" s="5" t="s">
        <v>6</v>
      </c>
      <c r="L574" s="10" t="str">
        <f t="shared" ca="1" si="41"/>
        <v>Calibrado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" hidden="1" customHeight="1">
      <c r="A575" s="21">
        <v>1524</v>
      </c>
      <c r="B575" s="5" t="s">
        <v>1506</v>
      </c>
      <c r="C575" s="39" t="s">
        <v>31</v>
      </c>
      <c r="D575" s="9" t="s">
        <v>880</v>
      </c>
      <c r="E575" s="6">
        <v>46211</v>
      </c>
      <c r="F575" s="91">
        <f t="shared" si="45"/>
        <v>46599</v>
      </c>
      <c r="G575" s="78" t="s">
        <v>2062</v>
      </c>
      <c r="H575" s="78" t="s">
        <v>2068</v>
      </c>
      <c r="I575" s="16" t="s">
        <v>1360</v>
      </c>
      <c r="J575" s="16" t="s">
        <v>2074</v>
      </c>
      <c r="K575" s="5" t="s">
        <v>6</v>
      </c>
      <c r="L575" s="10" t="str">
        <f t="shared" ca="1" si="41"/>
        <v>Calibrado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" hidden="1" customHeight="1">
      <c r="A576" s="21">
        <v>1525</v>
      </c>
      <c r="B576" s="5" t="s">
        <v>1506</v>
      </c>
      <c r="C576" s="39" t="s">
        <v>31</v>
      </c>
      <c r="D576" s="9" t="s">
        <v>881</v>
      </c>
      <c r="E576" s="6">
        <v>46211</v>
      </c>
      <c r="F576" s="91">
        <f t="shared" si="45"/>
        <v>46599</v>
      </c>
      <c r="G576" s="78" t="s">
        <v>2063</v>
      </c>
      <c r="H576" s="78" t="s">
        <v>2068</v>
      </c>
      <c r="I576" s="16" t="s">
        <v>1361</v>
      </c>
      <c r="J576" s="16" t="s">
        <v>2075</v>
      </c>
      <c r="K576" s="5" t="s">
        <v>6</v>
      </c>
      <c r="L576" s="10" t="str">
        <f t="shared" ca="1" si="41"/>
        <v>Calibrado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" hidden="1" customHeight="1">
      <c r="A577" s="21">
        <v>1526</v>
      </c>
      <c r="B577" s="5" t="s">
        <v>1506</v>
      </c>
      <c r="C577" s="39" t="s">
        <v>31</v>
      </c>
      <c r="D577" s="9" t="s">
        <v>882</v>
      </c>
      <c r="E577" s="6">
        <v>46093</v>
      </c>
      <c r="F577" s="91">
        <f t="shared" si="45"/>
        <v>46477</v>
      </c>
      <c r="G577" s="80" t="s">
        <v>2063</v>
      </c>
      <c r="H577" s="80"/>
      <c r="I577" s="16" t="s">
        <v>1143</v>
      </c>
      <c r="J577" s="16" t="s">
        <v>1824</v>
      </c>
      <c r="K577" s="5" t="s">
        <v>6</v>
      </c>
      <c r="L577" s="10" t="str">
        <f t="shared" ca="1" si="41"/>
        <v>Calibrado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" hidden="1" customHeight="1">
      <c r="A578" s="21">
        <v>1527</v>
      </c>
      <c r="B578" s="5" t="s">
        <v>1506</v>
      </c>
      <c r="C578" s="39" t="s">
        <v>31</v>
      </c>
      <c r="D578" s="59" t="s">
        <v>883</v>
      </c>
      <c r="E578" s="6">
        <v>46094</v>
      </c>
      <c r="F578" s="91">
        <f t="shared" si="45"/>
        <v>46477</v>
      </c>
      <c r="G578" s="80" t="s">
        <v>2062</v>
      </c>
      <c r="H578" s="80"/>
      <c r="I578" s="16" t="s">
        <v>1146</v>
      </c>
      <c r="J578" s="16" t="s">
        <v>1825</v>
      </c>
      <c r="K578" s="5" t="s">
        <v>6</v>
      </c>
      <c r="L578" s="10" t="str">
        <f t="shared" ca="1" si="41"/>
        <v>Calibrado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" hidden="1" customHeight="1">
      <c r="A579" s="21">
        <v>1528</v>
      </c>
      <c r="B579" s="5" t="s">
        <v>1506</v>
      </c>
      <c r="C579" s="39" t="s">
        <v>31</v>
      </c>
      <c r="D579" s="59" t="s">
        <v>884</v>
      </c>
      <c r="E579" s="6">
        <v>46154</v>
      </c>
      <c r="F579" s="91">
        <f t="shared" ref="F579:F589" si="46">EOMONTH(E579,12)</f>
        <v>46538</v>
      </c>
      <c r="G579" s="78"/>
      <c r="H579" s="78"/>
      <c r="I579" s="16" t="s">
        <v>1271</v>
      </c>
      <c r="J579" s="16" t="s">
        <v>1935</v>
      </c>
      <c r="K579" s="5" t="s">
        <v>6</v>
      </c>
      <c r="L579" s="10" t="str">
        <f t="shared" ref="L579:L642" ca="1" si="47">IF(K579="TERCEIRO","TERCEIRO",IF(K579="EM MODIF.","EM MODIF.",IF(K579="INATIVO","INATIVO",IF($E579="","Desenvolvimento",IF($F579&lt;$M$1,"Atrasado","Calibrado")))))</f>
        <v>Calibrado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" hidden="1" customHeight="1">
      <c r="A580" s="21">
        <v>1529</v>
      </c>
      <c r="B580" s="5" t="s">
        <v>1506</v>
      </c>
      <c r="C580" s="39" t="s">
        <v>31</v>
      </c>
      <c r="D580" s="59" t="s">
        <v>885</v>
      </c>
      <c r="E580" s="6">
        <v>46154</v>
      </c>
      <c r="F580" s="91">
        <f t="shared" si="46"/>
        <v>46538</v>
      </c>
      <c r="G580" s="78"/>
      <c r="H580" s="78"/>
      <c r="I580" s="16" t="s">
        <v>1272</v>
      </c>
      <c r="J580" s="16" t="s">
        <v>1936</v>
      </c>
      <c r="K580" s="5" t="s">
        <v>6</v>
      </c>
      <c r="L580" s="10" t="str">
        <f t="shared" ca="1" si="47"/>
        <v>Calibrado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" hidden="1" customHeight="1">
      <c r="A581" s="21">
        <v>1530</v>
      </c>
      <c r="B581" s="5" t="s">
        <v>1506</v>
      </c>
      <c r="C581" s="22" t="s">
        <v>32</v>
      </c>
      <c r="D581" s="8" t="s">
        <v>928</v>
      </c>
      <c r="E581" s="6">
        <v>46057</v>
      </c>
      <c r="F581" s="91">
        <f t="shared" si="46"/>
        <v>46446</v>
      </c>
      <c r="G581" s="80" t="s">
        <v>2062</v>
      </c>
      <c r="H581" s="78" t="s">
        <v>2068</v>
      </c>
      <c r="I581" s="71" t="s">
        <v>1082</v>
      </c>
      <c r="J581" s="71" t="s">
        <v>1762</v>
      </c>
      <c r="K581" s="5" t="s">
        <v>6</v>
      </c>
      <c r="L581" s="12" t="str">
        <f t="shared" ca="1" si="47"/>
        <v>Calibrado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" hidden="1" customHeight="1">
      <c r="A582" s="21">
        <v>1531</v>
      </c>
      <c r="B582" s="5" t="s">
        <v>1506</v>
      </c>
      <c r="C582" s="22" t="s">
        <v>32</v>
      </c>
      <c r="D582" s="73" t="s">
        <v>979</v>
      </c>
      <c r="E582" s="6">
        <v>46135</v>
      </c>
      <c r="F582" s="91">
        <f t="shared" si="46"/>
        <v>46507</v>
      </c>
      <c r="G582" s="78"/>
      <c r="H582" s="78"/>
      <c r="I582" s="71" t="s">
        <v>1200</v>
      </c>
      <c r="J582" s="71" t="s">
        <v>1904</v>
      </c>
      <c r="K582" s="5" t="s">
        <v>6</v>
      </c>
      <c r="L582" s="12" t="str">
        <f t="shared" ca="1" si="47"/>
        <v>Calibrado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" hidden="1" customHeight="1">
      <c r="A583" s="21">
        <v>1532</v>
      </c>
      <c r="B583" s="5" t="s">
        <v>1504</v>
      </c>
      <c r="C583" s="39" t="s">
        <v>31</v>
      </c>
      <c r="D583" s="59" t="s">
        <v>986</v>
      </c>
      <c r="E583" s="6">
        <v>46119</v>
      </c>
      <c r="F583" s="91">
        <f t="shared" si="46"/>
        <v>46507</v>
      </c>
      <c r="G583" s="78"/>
      <c r="H583" s="78"/>
      <c r="I583" s="16" t="s">
        <v>1207</v>
      </c>
      <c r="J583" s="16" t="s">
        <v>1873</v>
      </c>
      <c r="K583" s="5" t="s">
        <v>6</v>
      </c>
      <c r="L583" s="10" t="str">
        <f t="shared" ca="1" si="47"/>
        <v>Calibrado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" hidden="1" customHeight="1">
      <c r="A584" s="21">
        <v>1533</v>
      </c>
      <c r="B584" s="5" t="s">
        <v>1504</v>
      </c>
      <c r="C584" s="39" t="s">
        <v>31</v>
      </c>
      <c r="D584" s="59" t="s">
        <v>987</v>
      </c>
      <c r="E584" s="6">
        <v>46119</v>
      </c>
      <c r="F584" s="91">
        <f t="shared" si="46"/>
        <v>46507</v>
      </c>
      <c r="G584" s="78"/>
      <c r="H584" s="78"/>
      <c r="I584" s="16" t="s">
        <v>1208</v>
      </c>
      <c r="J584" s="16" t="s">
        <v>1874</v>
      </c>
      <c r="K584" s="5" t="s">
        <v>6</v>
      </c>
      <c r="L584" s="10" t="str">
        <f t="shared" ca="1" si="47"/>
        <v>Calibrado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5" hidden="1" customHeight="1">
      <c r="A585" s="21">
        <v>1534</v>
      </c>
      <c r="B585" s="5" t="s">
        <v>1506</v>
      </c>
      <c r="C585" s="29" t="s">
        <v>59</v>
      </c>
      <c r="D585" s="9" t="s">
        <v>988</v>
      </c>
      <c r="E585" s="6">
        <v>45958</v>
      </c>
      <c r="F585" s="91">
        <f t="shared" si="46"/>
        <v>46326</v>
      </c>
      <c r="G585" s="80" t="s">
        <v>2062</v>
      </c>
      <c r="H585" s="78"/>
      <c r="I585" s="16" t="s">
        <v>1540</v>
      </c>
      <c r="J585" s="16"/>
      <c r="K585" s="5" t="s">
        <v>6</v>
      </c>
      <c r="L585" s="10" t="str">
        <f t="shared" ca="1" si="47"/>
        <v>Calibrado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" hidden="1" customHeight="1">
      <c r="A586" s="21">
        <v>1535</v>
      </c>
      <c r="B586" s="5" t="s">
        <v>1506</v>
      </c>
      <c r="C586" s="29" t="s">
        <v>59</v>
      </c>
      <c r="D586" s="9" t="s">
        <v>942</v>
      </c>
      <c r="E586" s="6">
        <v>45959</v>
      </c>
      <c r="F586" s="91">
        <f t="shared" si="46"/>
        <v>46326</v>
      </c>
      <c r="G586" s="80" t="s">
        <v>2063</v>
      </c>
      <c r="H586" s="78"/>
      <c r="I586" s="16" t="s">
        <v>1543</v>
      </c>
      <c r="J586" s="16"/>
      <c r="K586" s="5" t="s">
        <v>6</v>
      </c>
      <c r="L586" s="10" t="str">
        <f t="shared" ca="1" si="47"/>
        <v>Calibrado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" hidden="1" customHeight="1">
      <c r="A587" s="21">
        <v>1536</v>
      </c>
      <c r="B587" s="5" t="s">
        <v>1506</v>
      </c>
      <c r="C587" s="29" t="s">
        <v>59</v>
      </c>
      <c r="D587" s="9" t="s">
        <v>943</v>
      </c>
      <c r="E587" s="6">
        <v>45959</v>
      </c>
      <c r="F587" s="91">
        <f t="shared" si="46"/>
        <v>46326</v>
      </c>
      <c r="G587" s="80" t="s">
        <v>2063</v>
      </c>
      <c r="H587" s="78"/>
      <c r="I587" s="16" t="s">
        <v>1544</v>
      </c>
      <c r="J587" s="16"/>
      <c r="K587" s="5" t="s">
        <v>6</v>
      </c>
      <c r="L587" s="10" t="str">
        <f t="shared" ca="1" si="47"/>
        <v>Calibrado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" hidden="1" customHeight="1">
      <c r="A588" s="21">
        <v>1537</v>
      </c>
      <c r="B588" s="5" t="s">
        <v>1506</v>
      </c>
      <c r="C588" s="29" t="s">
        <v>59</v>
      </c>
      <c r="D588" s="9" t="s">
        <v>940</v>
      </c>
      <c r="E588" s="6">
        <v>45958</v>
      </c>
      <c r="F588" s="91">
        <f t="shared" si="46"/>
        <v>46326</v>
      </c>
      <c r="G588" s="80" t="s">
        <v>2063</v>
      </c>
      <c r="H588" s="78"/>
      <c r="I588" s="16" t="s">
        <v>1541</v>
      </c>
      <c r="J588" s="16"/>
      <c r="K588" s="5" t="s">
        <v>6</v>
      </c>
      <c r="L588" s="10" t="str">
        <f t="shared" ca="1" si="47"/>
        <v>Calibrado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" hidden="1" customHeight="1">
      <c r="A589" s="21">
        <v>1538</v>
      </c>
      <c r="B589" s="5" t="s">
        <v>1506</v>
      </c>
      <c r="C589" s="29" t="s">
        <v>59</v>
      </c>
      <c r="D589" s="9" t="s">
        <v>941</v>
      </c>
      <c r="E589" s="6">
        <v>45958</v>
      </c>
      <c r="F589" s="91">
        <f t="shared" si="46"/>
        <v>46326</v>
      </c>
      <c r="G589" s="80" t="s">
        <v>2063</v>
      </c>
      <c r="H589" s="78"/>
      <c r="I589" s="16" t="s">
        <v>1542</v>
      </c>
      <c r="J589" s="16"/>
      <c r="K589" s="5" t="s">
        <v>6</v>
      </c>
      <c r="L589" s="10" t="str">
        <f t="shared" ca="1" si="47"/>
        <v>Calibrado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" hidden="1" customHeight="1">
      <c r="A590" s="21">
        <v>1539</v>
      </c>
      <c r="B590" s="5" t="s">
        <v>1506</v>
      </c>
      <c r="C590" s="22" t="s">
        <v>32</v>
      </c>
      <c r="D590" s="9" t="s">
        <v>950</v>
      </c>
      <c r="E590" s="6">
        <v>46149</v>
      </c>
      <c r="F590" s="91">
        <f t="shared" ref="F590:F595" si="48">EOMONTH(E590,12)</f>
        <v>46538</v>
      </c>
      <c r="G590" s="78"/>
      <c r="H590" s="78"/>
      <c r="I590" s="71" t="s">
        <v>1221</v>
      </c>
      <c r="J590" s="71" t="s">
        <v>1927</v>
      </c>
      <c r="K590" s="5" t="s">
        <v>6</v>
      </c>
      <c r="L590" s="12" t="str">
        <f t="shared" ca="1" si="47"/>
        <v>Calibrado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" hidden="1" customHeight="1">
      <c r="A591" s="21">
        <v>1540</v>
      </c>
      <c r="B591" s="5" t="s">
        <v>1506</v>
      </c>
      <c r="C591" s="22" t="s">
        <v>32</v>
      </c>
      <c r="D591" s="9" t="s">
        <v>951</v>
      </c>
      <c r="E591" s="6">
        <v>46184</v>
      </c>
      <c r="F591" s="91">
        <f t="shared" si="48"/>
        <v>46568</v>
      </c>
      <c r="G591" s="78" t="s">
        <v>2063</v>
      </c>
      <c r="H591" s="78"/>
      <c r="I591" s="71" t="s">
        <v>1331</v>
      </c>
      <c r="J591" s="71" t="s">
        <v>2008</v>
      </c>
      <c r="K591" s="5" t="s">
        <v>6</v>
      </c>
      <c r="L591" s="12" t="str">
        <f t="shared" ca="1" si="47"/>
        <v>Calibrado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" hidden="1" customHeight="1">
      <c r="A592" s="21">
        <v>1541</v>
      </c>
      <c r="B592" s="5" t="s">
        <v>1506</v>
      </c>
      <c r="C592" s="22" t="s">
        <v>32</v>
      </c>
      <c r="D592" s="9" t="s">
        <v>952</v>
      </c>
      <c r="E592" s="6">
        <v>46135</v>
      </c>
      <c r="F592" s="91">
        <f t="shared" si="48"/>
        <v>46507</v>
      </c>
      <c r="G592" s="78"/>
      <c r="H592" s="78"/>
      <c r="I592" s="71" t="s">
        <v>1201</v>
      </c>
      <c r="J592" s="71" t="s">
        <v>1905</v>
      </c>
      <c r="K592" s="5" t="s">
        <v>6</v>
      </c>
      <c r="L592" s="12" t="str">
        <f t="shared" ca="1" si="47"/>
        <v>Calibrado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" hidden="1" customHeight="1">
      <c r="A593" s="21">
        <v>1542</v>
      </c>
      <c r="B593" s="5" t="s">
        <v>1506</v>
      </c>
      <c r="C593" s="22" t="s">
        <v>32</v>
      </c>
      <c r="D593" s="9" t="s">
        <v>953</v>
      </c>
      <c r="E593" s="6">
        <v>46135</v>
      </c>
      <c r="F593" s="91">
        <f t="shared" si="48"/>
        <v>46507</v>
      </c>
      <c r="G593" s="78"/>
      <c r="H593" s="78"/>
      <c r="I593" s="71" t="s">
        <v>1202</v>
      </c>
      <c r="J593" s="71" t="s">
        <v>1906</v>
      </c>
      <c r="K593" s="5" t="s">
        <v>6</v>
      </c>
      <c r="L593" s="12" t="str">
        <f t="shared" ca="1" si="47"/>
        <v>Calibrado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" hidden="1" customHeight="1">
      <c r="A594" s="21">
        <v>1543</v>
      </c>
      <c r="B594" s="5" t="s">
        <v>1506</v>
      </c>
      <c r="C594" s="22" t="s">
        <v>32</v>
      </c>
      <c r="D594" s="9" t="s">
        <v>954</v>
      </c>
      <c r="E594" s="6">
        <v>46136</v>
      </c>
      <c r="F594" s="91">
        <f t="shared" si="48"/>
        <v>46507</v>
      </c>
      <c r="G594" s="78"/>
      <c r="H594" s="78"/>
      <c r="I594" s="71" t="s">
        <v>1203</v>
      </c>
      <c r="J594" s="71" t="s">
        <v>1908</v>
      </c>
      <c r="K594" s="5" t="s">
        <v>6</v>
      </c>
      <c r="L594" s="12" t="str">
        <f t="shared" ca="1" si="47"/>
        <v>Calibrado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5" hidden="1" customHeight="1">
      <c r="A595" s="21">
        <v>1544</v>
      </c>
      <c r="B595" s="5" t="s">
        <v>1506</v>
      </c>
      <c r="C595" s="22" t="s">
        <v>32</v>
      </c>
      <c r="D595" s="9" t="s">
        <v>955</v>
      </c>
      <c r="E595" s="6">
        <v>46136</v>
      </c>
      <c r="F595" s="91">
        <f t="shared" si="48"/>
        <v>46507</v>
      </c>
      <c r="G595" s="78"/>
      <c r="H595" s="78"/>
      <c r="I595" s="71" t="s">
        <v>1204</v>
      </c>
      <c r="J595" s="71" t="s">
        <v>1909</v>
      </c>
      <c r="K595" s="5" t="s">
        <v>6</v>
      </c>
      <c r="L595" s="12" t="str">
        <f t="shared" ca="1" si="47"/>
        <v>Calibrado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5" hidden="1" customHeight="1">
      <c r="A596" s="21">
        <v>1545</v>
      </c>
      <c r="B596" s="5" t="s">
        <v>1506</v>
      </c>
      <c r="C596" s="22" t="s">
        <v>32</v>
      </c>
      <c r="D596" s="9" t="s">
        <v>956</v>
      </c>
      <c r="E596" s="6">
        <v>46137</v>
      </c>
      <c r="F596" s="91">
        <f>EOMONTH(E596,12)</f>
        <v>46507</v>
      </c>
      <c r="G596" s="78"/>
      <c r="H596" s="78"/>
      <c r="I596" s="71" t="s">
        <v>1205</v>
      </c>
      <c r="J596" s="71" t="s">
        <v>1910</v>
      </c>
      <c r="K596" s="5" t="s">
        <v>6</v>
      </c>
      <c r="L596" s="12" t="str">
        <f t="shared" ca="1" si="47"/>
        <v>Calibrado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5" hidden="1" customHeight="1">
      <c r="A597" s="21">
        <v>1546</v>
      </c>
      <c r="B597" s="5" t="s">
        <v>1506</v>
      </c>
      <c r="C597" s="22" t="s">
        <v>32</v>
      </c>
      <c r="D597" s="9" t="s">
        <v>957</v>
      </c>
      <c r="E597" s="6">
        <v>46218</v>
      </c>
      <c r="F597" s="91">
        <f>EOMONTH(E597,12)</f>
        <v>46599</v>
      </c>
      <c r="G597" s="78" t="s">
        <v>2062</v>
      </c>
      <c r="H597" s="78" t="s">
        <v>2068</v>
      </c>
      <c r="I597" s="71" t="s">
        <v>1375</v>
      </c>
      <c r="J597" s="71" t="s">
        <v>2087</v>
      </c>
      <c r="K597" s="5" t="s">
        <v>6</v>
      </c>
      <c r="L597" s="12" t="str">
        <f t="shared" ca="1" si="47"/>
        <v>Calibrado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5" hidden="1" customHeight="1">
      <c r="A598" s="21">
        <v>1547</v>
      </c>
      <c r="B598" s="5" t="s">
        <v>1506</v>
      </c>
      <c r="C598" s="22" t="s">
        <v>32</v>
      </c>
      <c r="D598" s="9" t="s">
        <v>958</v>
      </c>
      <c r="E598" s="6">
        <v>46137</v>
      </c>
      <c r="F598" s="91">
        <f>EOMONTH(E598,12)</f>
        <v>46507</v>
      </c>
      <c r="G598" s="78"/>
      <c r="H598" s="78"/>
      <c r="I598" s="71" t="s">
        <v>1206</v>
      </c>
      <c r="J598" s="71" t="s">
        <v>1911</v>
      </c>
      <c r="K598" s="5" t="s">
        <v>6</v>
      </c>
      <c r="L598" s="12" t="str">
        <f t="shared" ca="1" si="47"/>
        <v>Calibrado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5" hidden="1" customHeight="1">
      <c r="A599" s="21">
        <v>1548</v>
      </c>
      <c r="B599" s="5" t="s">
        <v>1506</v>
      </c>
      <c r="C599" s="22" t="s">
        <v>32</v>
      </c>
      <c r="D599" s="9" t="s">
        <v>948</v>
      </c>
      <c r="E599" s="6">
        <v>46149</v>
      </c>
      <c r="F599" s="91">
        <f>EOMONTH(E599,12)</f>
        <v>46538</v>
      </c>
      <c r="G599" s="78"/>
      <c r="H599" s="78"/>
      <c r="I599" s="71" t="s">
        <v>1222</v>
      </c>
      <c r="J599" s="71" t="s">
        <v>1928</v>
      </c>
      <c r="K599" s="5" t="s">
        <v>6</v>
      </c>
      <c r="L599" s="12" t="str">
        <f t="shared" ca="1" si="47"/>
        <v>Calibrado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5" hidden="1" customHeight="1">
      <c r="A600" s="21">
        <v>1549</v>
      </c>
      <c r="B600" s="5" t="s">
        <v>1506</v>
      </c>
      <c r="C600" s="22" t="s">
        <v>32</v>
      </c>
      <c r="D600" s="9" t="s">
        <v>959</v>
      </c>
      <c r="E600" s="6">
        <v>46184</v>
      </c>
      <c r="F600" s="91">
        <f t="shared" ref="F600:F605" si="49">EOMONTH(E600,12)</f>
        <v>46568</v>
      </c>
      <c r="G600" s="78" t="s">
        <v>2062</v>
      </c>
      <c r="H600" s="78"/>
      <c r="I600" s="71" t="s">
        <v>1332</v>
      </c>
      <c r="J600" s="71" t="s">
        <v>2009</v>
      </c>
      <c r="K600" s="5" t="s">
        <v>6</v>
      </c>
      <c r="L600" s="12" t="str">
        <f t="shared" ca="1" si="47"/>
        <v>Calibrado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5" hidden="1" customHeight="1">
      <c r="A601" s="21">
        <v>1550</v>
      </c>
      <c r="B601" s="5" t="s">
        <v>1506</v>
      </c>
      <c r="C601" s="22" t="s">
        <v>32</v>
      </c>
      <c r="D601" s="9" t="s">
        <v>944</v>
      </c>
      <c r="E601" s="6">
        <v>46218</v>
      </c>
      <c r="F601" s="91">
        <f t="shared" si="49"/>
        <v>46599</v>
      </c>
      <c r="G601" s="78" t="s">
        <v>2062</v>
      </c>
      <c r="H601" s="78" t="s">
        <v>2068</v>
      </c>
      <c r="I601" s="71" t="s">
        <v>1376</v>
      </c>
      <c r="J601" s="71" t="s">
        <v>2088</v>
      </c>
      <c r="K601" s="5" t="s">
        <v>6</v>
      </c>
      <c r="L601" s="12" t="str">
        <f t="shared" ca="1" si="47"/>
        <v>Calibrado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" hidden="1" customHeight="1">
      <c r="A602" s="21">
        <v>1551</v>
      </c>
      <c r="B602" s="5" t="s">
        <v>1506</v>
      </c>
      <c r="C602" s="22" t="s">
        <v>32</v>
      </c>
      <c r="D602" s="9" t="s">
        <v>945</v>
      </c>
      <c r="E602" s="6">
        <v>46219</v>
      </c>
      <c r="F602" s="91">
        <f t="shared" si="49"/>
        <v>46599</v>
      </c>
      <c r="G602" s="78" t="s">
        <v>2062</v>
      </c>
      <c r="H602" s="78" t="s">
        <v>2068</v>
      </c>
      <c r="I602" s="71" t="s">
        <v>1377</v>
      </c>
      <c r="J602" s="71" t="s">
        <v>2089</v>
      </c>
      <c r="K602" s="5" t="s">
        <v>6</v>
      </c>
      <c r="L602" s="12" t="str">
        <f t="shared" ca="1" si="47"/>
        <v>Calibrado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" hidden="1" customHeight="1">
      <c r="A603" s="21">
        <v>1552</v>
      </c>
      <c r="B603" s="5" t="s">
        <v>1506</v>
      </c>
      <c r="C603" s="22" t="s">
        <v>32</v>
      </c>
      <c r="D603" s="9" t="s">
        <v>946</v>
      </c>
      <c r="E603" s="6">
        <v>45909</v>
      </c>
      <c r="F603" s="91">
        <f t="shared" si="49"/>
        <v>46295</v>
      </c>
      <c r="G603" s="80" t="s">
        <v>2063</v>
      </c>
      <c r="H603" s="80"/>
      <c r="I603" s="71" t="s">
        <v>1454</v>
      </c>
      <c r="J603" s="71"/>
      <c r="K603" s="5" t="s">
        <v>6</v>
      </c>
      <c r="L603" s="12" t="str">
        <f t="shared" ca="1" si="47"/>
        <v>Calibrado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" hidden="1" customHeight="1">
      <c r="A604" s="21">
        <v>1553</v>
      </c>
      <c r="B604" s="5" t="s">
        <v>1506</v>
      </c>
      <c r="C604" s="22" t="s">
        <v>32</v>
      </c>
      <c r="D604" s="9" t="s">
        <v>947</v>
      </c>
      <c r="E604" s="6">
        <v>46219</v>
      </c>
      <c r="F604" s="91">
        <f t="shared" si="49"/>
        <v>46599</v>
      </c>
      <c r="G604" s="78" t="s">
        <v>2062</v>
      </c>
      <c r="H604" s="78" t="s">
        <v>2068</v>
      </c>
      <c r="I604" s="71" t="s">
        <v>1378</v>
      </c>
      <c r="J604" s="71" t="s">
        <v>2090</v>
      </c>
      <c r="K604" s="5" t="s">
        <v>6</v>
      </c>
      <c r="L604" s="12" t="str">
        <f t="shared" ca="1" si="47"/>
        <v>Calibrado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" hidden="1" customHeight="1">
      <c r="A605" s="21">
        <v>1554</v>
      </c>
      <c r="B605" s="5" t="s">
        <v>1506</v>
      </c>
      <c r="C605" s="22" t="s">
        <v>32</v>
      </c>
      <c r="D605" s="8" t="s">
        <v>949</v>
      </c>
      <c r="E605" s="6">
        <v>46219</v>
      </c>
      <c r="F605" s="91">
        <f t="shared" si="49"/>
        <v>46599</v>
      </c>
      <c r="G605" s="78" t="s">
        <v>2063</v>
      </c>
      <c r="H605" s="78" t="s">
        <v>2068</v>
      </c>
      <c r="I605" s="71" t="s">
        <v>1379</v>
      </c>
      <c r="J605" s="71" t="s">
        <v>2091</v>
      </c>
      <c r="K605" s="5" t="s">
        <v>6</v>
      </c>
      <c r="L605" s="12" t="str">
        <f t="shared" ca="1" si="47"/>
        <v>Calibrado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" hidden="1" customHeight="1">
      <c r="A606" s="21">
        <v>1555</v>
      </c>
      <c r="B606" s="5" t="s">
        <v>1506</v>
      </c>
      <c r="C606" s="30" t="s">
        <v>35</v>
      </c>
      <c r="D606" s="36" t="s">
        <v>966</v>
      </c>
      <c r="E606" s="53"/>
      <c r="F606" s="53"/>
      <c r="G606" s="83"/>
      <c r="H606" s="83"/>
      <c r="I606" s="54"/>
      <c r="J606" s="54"/>
      <c r="K606" s="5" t="s">
        <v>910</v>
      </c>
      <c r="L606" s="10" t="str">
        <f t="shared" si="47"/>
        <v>Desenvolvimento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" hidden="1" customHeight="1">
      <c r="A607" s="21">
        <v>1556</v>
      </c>
      <c r="B607" s="5" t="s">
        <v>1506</v>
      </c>
      <c r="C607" s="42" t="s">
        <v>7</v>
      </c>
      <c r="D607" s="59">
        <v>26290065</v>
      </c>
      <c r="E607" s="6">
        <v>46245</v>
      </c>
      <c r="F607" s="91">
        <f t="shared" ref="F607:F613" si="50">EOMONTH(E607,12)</f>
        <v>46630</v>
      </c>
      <c r="G607" s="78"/>
      <c r="H607" s="78" t="s">
        <v>2068</v>
      </c>
      <c r="I607" s="16" t="s">
        <v>1432</v>
      </c>
      <c r="J607" s="16" t="s">
        <v>2187</v>
      </c>
      <c r="K607" s="5" t="s">
        <v>6</v>
      </c>
      <c r="L607" s="10" t="str">
        <f t="shared" ca="1" si="47"/>
        <v>Calibrado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" hidden="1" customHeight="1">
      <c r="A608" s="21">
        <v>1557</v>
      </c>
      <c r="B608" s="5" t="s">
        <v>1506</v>
      </c>
      <c r="C608" s="42" t="s">
        <v>7</v>
      </c>
      <c r="D608" s="59">
        <v>26290066</v>
      </c>
      <c r="E608" s="6">
        <v>46245</v>
      </c>
      <c r="F608" s="91">
        <f t="shared" si="50"/>
        <v>46630</v>
      </c>
      <c r="G608" s="78"/>
      <c r="H608" s="78" t="s">
        <v>2068</v>
      </c>
      <c r="I608" s="16" t="s">
        <v>1433</v>
      </c>
      <c r="J608" s="16" t="s">
        <v>2188</v>
      </c>
      <c r="K608" s="5" t="s">
        <v>6</v>
      </c>
      <c r="L608" s="10" t="str">
        <f t="shared" ca="1" si="47"/>
        <v>Calibrado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" hidden="1" customHeight="1">
      <c r="A609" s="21">
        <v>1558</v>
      </c>
      <c r="B609" s="5" t="s">
        <v>1506</v>
      </c>
      <c r="C609" s="42" t="s">
        <v>7</v>
      </c>
      <c r="D609" s="59">
        <v>26252662</v>
      </c>
      <c r="E609" s="6">
        <v>46246</v>
      </c>
      <c r="F609" s="91">
        <f t="shared" si="50"/>
        <v>46630</v>
      </c>
      <c r="G609" s="78"/>
      <c r="H609" s="78" t="s">
        <v>2068</v>
      </c>
      <c r="I609" s="16" t="s">
        <v>1434</v>
      </c>
      <c r="J609" s="16" t="s">
        <v>2189</v>
      </c>
      <c r="K609" s="5" t="s">
        <v>6</v>
      </c>
      <c r="L609" s="10" t="str">
        <f t="shared" ca="1" si="47"/>
        <v>Calibrado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" hidden="1" customHeight="1">
      <c r="A610" s="21">
        <v>1559</v>
      </c>
      <c r="B610" s="5" t="s">
        <v>1506</v>
      </c>
      <c r="C610" s="42" t="s">
        <v>7</v>
      </c>
      <c r="D610" s="59">
        <v>26227984</v>
      </c>
      <c r="E610" s="6">
        <v>46246</v>
      </c>
      <c r="F610" s="91">
        <f t="shared" si="50"/>
        <v>46630</v>
      </c>
      <c r="G610" s="78"/>
      <c r="H610" s="78" t="s">
        <v>2068</v>
      </c>
      <c r="I610" s="16" t="s">
        <v>1435</v>
      </c>
      <c r="J610" s="16" t="s">
        <v>2190</v>
      </c>
      <c r="K610" s="5" t="s">
        <v>6</v>
      </c>
      <c r="L610" s="10" t="str">
        <f t="shared" ca="1" si="47"/>
        <v>Calibrado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" hidden="1" customHeight="1">
      <c r="A611" s="21">
        <v>1560</v>
      </c>
      <c r="B611" s="5" t="s">
        <v>1505</v>
      </c>
      <c r="C611" s="42" t="s">
        <v>7</v>
      </c>
      <c r="D611" s="9" t="s">
        <v>967</v>
      </c>
      <c r="E611" s="6">
        <v>45960</v>
      </c>
      <c r="F611" s="91">
        <f t="shared" si="50"/>
        <v>46326</v>
      </c>
      <c r="G611" s="80" t="s">
        <v>2063</v>
      </c>
      <c r="H611" s="78"/>
      <c r="I611" s="16" t="s">
        <v>1546</v>
      </c>
      <c r="J611" s="16"/>
      <c r="K611" s="5" t="s">
        <v>6</v>
      </c>
      <c r="L611" s="10" t="str">
        <f t="shared" ca="1" si="47"/>
        <v>Calibrado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5" hidden="1" customHeight="1">
      <c r="A612" s="21">
        <v>1561</v>
      </c>
      <c r="B612" s="5" t="s">
        <v>1505</v>
      </c>
      <c r="C612" s="42" t="s">
        <v>7</v>
      </c>
      <c r="D612" s="9" t="s">
        <v>968</v>
      </c>
      <c r="E612" s="6">
        <v>45960</v>
      </c>
      <c r="F612" s="91">
        <f t="shared" si="50"/>
        <v>46326</v>
      </c>
      <c r="G612" s="80" t="s">
        <v>2063</v>
      </c>
      <c r="H612" s="78"/>
      <c r="I612" s="16" t="s">
        <v>1547</v>
      </c>
      <c r="J612" s="16"/>
      <c r="K612" s="5" t="s">
        <v>6</v>
      </c>
      <c r="L612" s="10" t="str">
        <f t="shared" ca="1" si="47"/>
        <v>Calibrado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5" hidden="1" customHeight="1">
      <c r="A613" s="21">
        <v>1564</v>
      </c>
      <c r="B613" s="5" t="s">
        <v>1506</v>
      </c>
      <c r="C613" s="5" t="s">
        <v>65</v>
      </c>
      <c r="D613" s="9">
        <v>522437340</v>
      </c>
      <c r="E613" s="2">
        <v>46226</v>
      </c>
      <c r="F613" s="91">
        <f t="shared" si="50"/>
        <v>46599</v>
      </c>
      <c r="G613" s="78" t="s">
        <v>2062</v>
      </c>
      <c r="H613" s="78" t="s">
        <v>2068</v>
      </c>
      <c r="I613" s="16" t="s">
        <v>1373</v>
      </c>
      <c r="J613" s="16" t="s">
        <v>2116</v>
      </c>
      <c r="K613" s="5" t="s">
        <v>6</v>
      </c>
      <c r="L613" s="10" t="str">
        <f t="shared" ca="1" si="47"/>
        <v>Calibrado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" hidden="1" customHeight="1">
      <c r="A614" s="92">
        <v>1566</v>
      </c>
      <c r="B614" s="5" t="s">
        <v>1506</v>
      </c>
      <c r="C614" s="5" t="s">
        <v>65</v>
      </c>
      <c r="D614" s="36">
        <v>9858263480</v>
      </c>
      <c r="E614" s="53"/>
      <c r="F614" s="53"/>
      <c r="G614" s="83"/>
      <c r="H614" s="83"/>
      <c r="I614" s="54"/>
      <c r="J614" s="54"/>
      <c r="K614" s="5" t="s">
        <v>910</v>
      </c>
      <c r="L614" s="10" t="str">
        <f t="shared" si="47"/>
        <v>Desenvolvimento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" hidden="1" customHeight="1">
      <c r="A615" s="92">
        <v>1567</v>
      </c>
      <c r="B615" s="5" t="s">
        <v>1506</v>
      </c>
      <c r="C615" s="5" t="s">
        <v>65</v>
      </c>
      <c r="D615" s="36">
        <v>9858263580</v>
      </c>
      <c r="E615" s="53"/>
      <c r="F615" s="53"/>
      <c r="G615" s="83"/>
      <c r="H615" s="83"/>
      <c r="I615" s="54"/>
      <c r="J615" s="54"/>
      <c r="K615" s="5" t="s">
        <v>910</v>
      </c>
      <c r="L615" s="10" t="str">
        <f t="shared" si="47"/>
        <v>Desenvolvimento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" hidden="1" customHeight="1">
      <c r="A616" s="21">
        <v>1569</v>
      </c>
      <c r="B616" s="5" t="s">
        <v>1506</v>
      </c>
      <c r="C616" s="5" t="s">
        <v>65</v>
      </c>
      <c r="D616" s="9" t="s">
        <v>1548</v>
      </c>
      <c r="E616" s="6">
        <v>45961</v>
      </c>
      <c r="F616" s="91">
        <f t="shared" ref="F616:F623" si="51">EOMONTH(E616,12)</f>
        <v>46326</v>
      </c>
      <c r="G616" s="80" t="s">
        <v>2063</v>
      </c>
      <c r="H616" s="78"/>
      <c r="I616" s="16" t="s">
        <v>1549</v>
      </c>
      <c r="J616" s="16"/>
      <c r="K616" s="5" t="s">
        <v>6</v>
      </c>
      <c r="L616" s="10" t="str">
        <f t="shared" ca="1" si="47"/>
        <v>Calibrado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" hidden="1" customHeight="1">
      <c r="A617" s="21">
        <v>1570</v>
      </c>
      <c r="B617" s="5" t="s">
        <v>1506</v>
      </c>
      <c r="C617" s="5" t="s">
        <v>65</v>
      </c>
      <c r="D617" s="8" t="s">
        <v>1598</v>
      </c>
      <c r="E617" s="6">
        <v>45991</v>
      </c>
      <c r="F617" s="91">
        <f t="shared" si="51"/>
        <v>46356</v>
      </c>
      <c r="G617" s="78"/>
      <c r="H617" s="78"/>
      <c r="I617" s="16" t="s">
        <v>1599</v>
      </c>
      <c r="J617" s="16"/>
      <c r="K617" s="5" t="s">
        <v>6</v>
      </c>
      <c r="L617" s="10" t="str">
        <f t="shared" ca="1" si="47"/>
        <v>Calibrado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" hidden="1" customHeight="1">
      <c r="A618" s="21">
        <v>1574</v>
      </c>
      <c r="B618" s="5" t="s">
        <v>1506</v>
      </c>
      <c r="C618" s="5" t="s">
        <v>65</v>
      </c>
      <c r="D618" s="9">
        <v>463587460</v>
      </c>
      <c r="E618" s="6">
        <v>46226</v>
      </c>
      <c r="F618" s="91">
        <f t="shared" si="51"/>
        <v>46599</v>
      </c>
      <c r="G618" s="78" t="s">
        <v>2062</v>
      </c>
      <c r="H618" s="78" t="s">
        <v>2068</v>
      </c>
      <c r="I618" s="16" t="s">
        <v>1374</v>
      </c>
      <c r="J618" s="16" t="s">
        <v>2117</v>
      </c>
      <c r="K618" s="5" t="s">
        <v>6</v>
      </c>
      <c r="L618" s="10" t="str">
        <f t="shared" ca="1" si="47"/>
        <v>Calibrado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" hidden="1" customHeight="1">
      <c r="A619" s="21">
        <v>1575</v>
      </c>
      <c r="B619" s="5" t="s">
        <v>1505</v>
      </c>
      <c r="C619" s="38" t="s">
        <v>841</v>
      </c>
      <c r="D619" s="9" t="s">
        <v>969</v>
      </c>
      <c r="E619" s="6">
        <v>46114</v>
      </c>
      <c r="F619" s="91">
        <f t="shared" si="51"/>
        <v>46507</v>
      </c>
      <c r="G619" s="78"/>
      <c r="H619" s="78"/>
      <c r="I619" s="16" t="s">
        <v>1158</v>
      </c>
      <c r="J619" s="16" t="s">
        <v>1869</v>
      </c>
      <c r="K619" s="5" t="s">
        <v>6</v>
      </c>
      <c r="L619" s="10" t="str">
        <f t="shared" ca="1" si="47"/>
        <v>Calibrado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" hidden="1" customHeight="1">
      <c r="A620" s="21">
        <v>1576</v>
      </c>
      <c r="B620" s="5" t="s">
        <v>1505</v>
      </c>
      <c r="C620" s="39" t="s">
        <v>31</v>
      </c>
      <c r="D620" s="8" t="s">
        <v>970</v>
      </c>
      <c r="E620" s="6">
        <v>46155</v>
      </c>
      <c r="F620" s="91">
        <f t="shared" si="51"/>
        <v>46538</v>
      </c>
      <c r="G620" s="78"/>
      <c r="H620" s="78"/>
      <c r="I620" s="16" t="s">
        <v>1269</v>
      </c>
      <c r="J620" s="16" t="s">
        <v>1937</v>
      </c>
      <c r="K620" s="5" t="s">
        <v>6</v>
      </c>
      <c r="L620" s="10" t="str">
        <f t="shared" ca="1" si="47"/>
        <v>Calibrado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" hidden="1" customHeight="1">
      <c r="A621" s="21">
        <v>1577</v>
      </c>
      <c r="B621" s="5" t="s">
        <v>1505</v>
      </c>
      <c r="C621" s="39" t="s">
        <v>31</v>
      </c>
      <c r="D621" s="8" t="s">
        <v>971</v>
      </c>
      <c r="E621" s="6">
        <v>46155</v>
      </c>
      <c r="F621" s="91">
        <f t="shared" si="51"/>
        <v>46538</v>
      </c>
      <c r="G621" s="78"/>
      <c r="H621" s="78"/>
      <c r="I621" s="16" t="s">
        <v>1270</v>
      </c>
      <c r="J621" s="16" t="s">
        <v>1938</v>
      </c>
      <c r="K621" s="5" t="s">
        <v>6</v>
      </c>
      <c r="L621" s="10" t="str">
        <f t="shared" ca="1" si="47"/>
        <v>Calibrado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" hidden="1" customHeight="1">
      <c r="A622" s="21">
        <v>1578</v>
      </c>
      <c r="B622" s="5" t="s">
        <v>1505</v>
      </c>
      <c r="C622" s="39" t="s">
        <v>31</v>
      </c>
      <c r="D622" s="9" t="s">
        <v>972</v>
      </c>
      <c r="E622" s="6">
        <v>46239</v>
      </c>
      <c r="F622" s="91">
        <f t="shared" si="51"/>
        <v>46630</v>
      </c>
      <c r="G622" s="78"/>
      <c r="H622" s="78" t="s">
        <v>2068</v>
      </c>
      <c r="I622" s="16" t="s">
        <v>1386</v>
      </c>
      <c r="J622" s="16" t="s">
        <v>2173</v>
      </c>
      <c r="K622" s="5" t="s">
        <v>6</v>
      </c>
      <c r="L622" s="10" t="str">
        <f t="shared" ca="1" si="47"/>
        <v>Calibrado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" hidden="1" customHeight="1">
      <c r="A623" s="21">
        <v>1579</v>
      </c>
      <c r="B623" s="5" t="s">
        <v>1505</v>
      </c>
      <c r="C623" s="39" t="s">
        <v>31</v>
      </c>
      <c r="D623" s="9" t="s">
        <v>973</v>
      </c>
      <c r="E623" s="6">
        <v>46239</v>
      </c>
      <c r="F623" s="91">
        <f t="shared" si="51"/>
        <v>46630</v>
      </c>
      <c r="G623" s="78"/>
      <c r="H623" s="78" t="s">
        <v>2068</v>
      </c>
      <c r="I623" s="16" t="s">
        <v>1387</v>
      </c>
      <c r="J623" s="16" t="s">
        <v>2174</v>
      </c>
      <c r="K623" s="5" t="s">
        <v>6</v>
      </c>
      <c r="L623" s="10" t="str">
        <f t="shared" ca="1" si="47"/>
        <v>Calibrado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" hidden="1" customHeight="1">
      <c r="A624" s="92">
        <v>1580</v>
      </c>
      <c r="B624" s="5" t="s">
        <v>1505</v>
      </c>
      <c r="C624" s="25" t="s">
        <v>56</v>
      </c>
      <c r="D624" s="37" t="s">
        <v>1169</v>
      </c>
      <c r="E624" s="53"/>
      <c r="F624" s="53"/>
      <c r="G624" s="83"/>
      <c r="H624" s="83"/>
      <c r="I624" s="54"/>
      <c r="J624" s="54"/>
      <c r="K624" s="5" t="s">
        <v>910</v>
      </c>
      <c r="L624" s="10" t="str">
        <f t="shared" si="47"/>
        <v>Desenvolvimento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12" ht="15" hidden="1" customHeight="1">
      <c r="A625" s="92">
        <v>1581</v>
      </c>
      <c r="B625" s="5" t="s">
        <v>1506</v>
      </c>
      <c r="C625" s="39" t="s">
        <v>31</v>
      </c>
      <c r="D625" s="9" t="s">
        <v>1170</v>
      </c>
      <c r="E625" s="6">
        <v>45994</v>
      </c>
      <c r="F625" s="91">
        <f t="shared" ref="F625:F633" si="52">EOMONTH(E625,12)</f>
        <v>46387</v>
      </c>
      <c r="G625" s="78"/>
      <c r="H625" s="78"/>
      <c r="I625" s="16" t="s">
        <v>1604</v>
      </c>
      <c r="J625" s="16"/>
      <c r="K625" s="5" t="s">
        <v>6</v>
      </c>
      <c r="L625" s="10" t="str">
        <f t="shared" ca="1" si="47"/>
        <v>Calibrado</v>
      </c>
    </row>
    <row r="626" spans="1:12" ht="15" hidden="1" customHeight="1">
      <c r="A626" s="21">
        <v>1582</v>
      </c>
      <c r="B626" s="5" t="s">
        <v>1506</v>
      </c>
      <c r="C626" s="42" t="s">
        <v>7</v>
      </c>
      <c r="D626" s="59" t="s">
        <v>1171</v>
      </c>
      <c r="E626" s="6">
        <v>46080</v>
      </c>
      <c r="F626" s="91">
        <f t="shared" si="52"/>
        <v>46446</v>
      </c>
      <c r="G626" s="80" t="s">
        <v>2062</v>
      </c>
      <c r="H626" s="78" t="s">
        <v>2068</v>
      </c>
      <c r="I626" s="16" t="s">
        <v>61</v>
      </c>
      <c r="J626" s="16" t="s">
        <v>1803</v>
      </c>
      <c r="K626" s="5" t="s">
        <v>6</v>
      </c>
      <c r="L626" s="10" t="str">
        <f t="shared" ca="1" si="47"/>
        <v>Calibrado</v>
      </c>
    </row>
    <row r="627" spans="1:12" ht="15" hidden="1" customHeight="1">
      <c r="A627" s="21">
        <v>1583</v>
      </c>
      <c r="B627" s="5" t="s">
        <v>1506</v>
      </c>
      <c r="C627" s="42" t="s">
        <v>7</v>
      </c>
      <c r="D627" s="9" t="s">
        <v>1172</v>
      </c>
      <c r="E627" s="6">
        <v>46081</v>
      </c>
      <c r="F627" s="91">
        <f t="shared" si="52"/>
        <v>46446</v>
      </c>
      <c r="G627" s="80" t="s">
        <v>2062</v>
      </c>
      <c r="H627" s="78" t="s">
        <v>2068</v>
      </c>
      <c r="I627" s="16" t="s">
        <v>61</v>
      </c>
      <c r="J627" s="16" t="s">
        <v>1804</v>
      </c>
      <c r="K627" s="5" t="s">
        <v>6</v>
      </c>
      <c r="L627" s="10" t="str">
        <f t="shared" ca="1" si="47"/>
        <v>Calibrado</v>
      </c>
    </row>
    <row r="628" spans="1:12" ht="15" hidden="1" customHeight="1">
      <c r="A628" s="21">
        <v>1584</v>
      </c>
      <c r="B628" s="5" t="s">
        <v>1506</v>
      </c>
      <c r="C628" s="25" t="s">
        <v>56</v>
      </c>
      <c r="D628" s="59" t="s">
        <v>1173</v>
      </c>
      <c r="E628" s="6">
        <v>45906</v>
      </c>
      <c r="F628" s="91">
        <f t="shared" si="52"/>
        <v>46295</v>
      </c>
      <c r="G628" s="80" t="s">
        <v>2063</v>
      </c>
      <c r="H628" s="80"/>
      <c r="I628" s="16" t="s">
        <v>1449</v>
      </c>
      <c r="J628" s="16"/>
      <c r="K628" s="5" t="s">
        <v>6</v>
      </c>
      <c r="L628" s="10" t="str">
        <f t="shared" ca="1" si="47"/>
        <v>Calibrado</v>
      </c>
    </row>
    <row r="629" spans="1:12" ht="15" hidden="1" customHeight="1">
      <c r="A629" s="21">
        <v>1585</v>
      </c>
      <c r="B629" s="5" t="s">
        <v>1506</v>
      </c>
      <c r="C629" s="25" t="s">
        <v>56</v>
      </c>
      <c r="D629" s="9" t="s">
        <v>1174</v>
      </c>
      <c r="E629" s="6">
        <v>45959</v>
      </c>
      <c r="F629" s="91">
        <f t="shared" si="52"/>
        <v>46326</v>
      </c>
      <c r="G629" s="80" t="s">
        <v>2063</v>
      </c>
      <c r="H629" s="78"/>
      <c r="I629" s="16" t="s">
        <v>1545</v>
      </c>
      <c r="J629" s="16"/>
      <c r="K629" s="5" t="s">
        <v>6</v>
      </c>
      <c r="L629" s="10" t="str">
        <f t="shared" ca="1" si="47"/>
        <v>Calibrado</v>
      </c>
    </row>
    <row r="630" spans="1:12" ht="15" hidden="1" customHeight="1">
      <c r="A630" s="21">
        <v>1586</v>
      </c>
      <c r="B630" s="5" t="s">
        <v>1506</v>
      </c>
      <c r="C630" s="29" t="s">
        <v>59</v>
      </c>
      <c r="D630" s="9" t="s">
        <v>1175</v>
      </c>
      <c r="E630" s="6">
        <v>46202</v>
      </c>
      <c r="F630" s="91">
        <f t="shared" si="52"/>
        <v>46568</v>
      </c>
      <c r="G630" s="78" t="s">
        <v>2063</v>
      </c>
      <c r="H630" s="78"/>
      <c r="I630" s="16" t="s">
        <v>66</v>
      </c>
      <c r="J630" s="16" t="s">
        <v>2043</v>
      </c>
      <c r="K630" s="5" t="s">
        <v>6</v>
      </c>
      <c r="L630" s="10" t="str">
        <f t="shared" ca="1" si="47"/>
        <v>Calibrado</v>
      </c>
    </row>
    <row r="631" spans="1:12" ht="15" hidden="1" customHeight="1">
      <c r="A631" s="21">
        <v>1587</v>
      </c>
      <c r="B631" s="5" t="s">
        <v>1506</v>
      </c>
      <c r="C631" s="5" t="s">
        <v>65</v>
      </c>
      <c r="D631" s="9">
        <v>9865092580</v>
      </c>
      <c r="E631" s="6">
        <v>45961</v>
      </c>
      <c r="F631" s="91">
        <f t="shared" si="52"/>
        <v>46326</v>
      </c>
      <c r="G631" s="80" t="s">
        <v>2063</v>
      </c>
      <c r="H631" s="78"/>
      <c r="I631" s="16" t="s">
        <v>1550</v>
      </c>
      <c r="J631" s="16"/>
      <c r="K631" s="5" t="s">
        <v>6</v>
      </c>
      <c r="L631" s="10" t="str">
        <f t="shared" ca="1" si="47"/>
        <v>Calibrado</v>
      </c>
    </row>
    <row r="632" spans="1:12" ht="15" hidden="1" customHeight="1">
      <c r="A632" s="21">
        <v>1588</v>
      </c>
      <c r="B632" s="5" t="s">
        <v>1506</v>
      </c>
      <c r="C632" s="42" t="s">
        <v>7</v>
      </c>
      <c r="D632" s="59" t="s">
        <v>1176</v>
      </c>
      <c r="E632" s="6">
        <v>46077</v>
      </c>
      <c r="F632" s="91">
        <f t="shared" si="52"/>
        <v>46446</v>
      </c>
      <c r="G632" s="80" t="s">
        <v>2063</v>
      </c>
      <c r="H632" s="78" t="s">
        <v>2068</v>
      </c>
      <c r="I632" s="16" t="s">
        <v>61</v>
      </c>
      <c r="J632" s="16" t="s">
        <v>1802</v>
      </c>
      <c r="K632" s="5" t="s">
        <v>6</v>
      </c>
      <c r="L632" s="10" t="str">
        <f t="shared" ca="1" si="47"/>
        <v>Calibrado</v>
      </c>
    </row>
    <row r="633" spans="1:12" ht="15" hidden="1" customHeight="1">
      <c r="A633" s="21">
        <v>1589</v>
      </c>
      <c r="B633" s="5" t="s">
        <v>1506</v>
      </c>
      <c r="C633" s="42" t="s">
        <v>7</v>
      </c>
      <c r="D633" s="9" t="s">
        <v>1177</v>
      </c>
      <c r="E633" s="6">
        <v>46077</v>
      </c>
      <c r="F633" s="91">
        <f t="shared" si="52"/>
        <v>46446</v>
      </c>
      <c r="G633" s="80" t="s">
        <v>2063</v>
      </c>
      <c r="H633" s="78" t="s">
        <v>2068</v>
      </c>
      <c r="I633" s="16" t="s">
        <v>61</v>
      </c>
      <c r="J633" s="16" t="s">
        <v>1802</v>
      </c>
      <c r="K633" s="5" t="s">
        <v>6</v>
      </c>
      <c r="L633" s="10" t="str">
        <f t="shared" ca="1" si="47"/>
        <v>Calibrado</v>
      </c>
    </row>
    <row r="634" spans="1:12" ht="15" hidden="1" customHeight="1">
      <c r="A634" s="21">
        <v>1590</v>
      </c>
      <c r="B634" s="5" t="s">
        <v>1506</v>
      </c>
      <c r="C634" s="5" t="s">
        <v>65</v>
      </c>
      <c r="D634" s="36" t="s">
        <v>1245</v>
      </c>
      <c r="E634" s="53"/>
      <c r="F634" s="53"/>
      <c r="G634" s="83"/>
      <c r="H634" s="83"/>
      <c r="I634" s="54"/>
      <c r="J634" s="54"/>
      <c r="K634" s="5" t="s">
        <v>910</v>
      </c>
      <c r="L634" s="10" t="str">
        <f t="shared" si="47"/>
        <v>Desenvolvimento</v>
      </c>
    </row>
    <row r="635" spans="1:12" ht="15" hidden="1" customHeight="1">
      <c r="A635" s="21">
        <v>1591</v>
      </c>
      <c r="B635" s="5" t="s">
        <v>1506</v>
      </c>
      <c r="C635" s="5" t="s">
        <v>65</v>
      </c>
      <c r="D635" s="9" t="s">
        <v>1246</v>
      </c>
      <c r="E635" s="6">
        <v>46037</v>
      </c>
      <c r="F635" s="91">
        <f>EOMONTH(E635,12)</f>
        <v>46418</v>
      </c>
      <c r="G635" s="78"/>
      <c r="H635" s="78" t="s">
        <v>2068</v>
      </c>
      <c r="I635" s="16" t="s">
        <v>909</v>
      </c>
      <c r="J635" s="16" t="s">
        <v>1671</v>
      </c>
      <c r="K635" s="5" t="s">
        <v>6</v>
      </c>
      <c r="L635" s="10" t="str">
        <f t="shared" ca="1" si="47"/>
        <v>Calibrado</v>
      </c>
    </row>
    <row r="636" spans="1:12" ht="15" hidden="1" customHeight="1">
      <c r="A636" s="21">
        <v>1592</v>
      </c>
      <c r="B636" s="5" t="s">
        <v>1506</v>
      </c>
      <c r="C636" s="5" t="s">
        <v>65</v>
      </c>
      <c r="D636" s="36" t="s">
        <v>1247</v>
      </c>
      <c r="E636" s="53"/>
      <c r="F636" s="53"/>
      <c r="G636" s="83"/>
      <c r="H636" s="83"/>
      <c r="I636" s="54"/>
      <c r="J636" s="54"/>
      <c r="K636" s="5" t="s">
        <v>910</v>
      </c>
      <c r="L636" s="10" t="str">
        <f t="shared" si="47"/>
        <v>Desenvolvimento</v>
      </c>
    </row>
    <row r="637" spans="1:12" ht="15" hidden="1" customHeight="1">
      <c r="A637" s="21">
        <v>1593</v>
      </c>
      <c r="B637" s="5" t="s">
        <v>1506</v>
      </c>
      <c r="C637" s="5" t="s">
        <v>65</v>
      </c>
      <c r="D637" s="36" t="s">
        <v>1248</v>
      </c>
      <c r="E637" s="53"/>
      <c r="F637" s="53"/>
      <c r="G637" s="83"/>
      <c r="H637" s="83"/>
      <c r="I637" s="54"/>
      <c r="J637" s="54"/>
      <c r="K637" s="5" t="s">
        <v>910</v>
      </c>
      <c r="L637" s="10" t="str">
        <f t="shared" si="47"/>
        <v>Desenvolvimento</v>
      </c>
    </row>
    <row r="638" spans="1:12" ht="15" hidden="1" customHeight="1">
      <c r="A638" s="92">
        <v>1594</v>
      </c>
      <c r="B638" s="5" t="s">
        <v>1506</v>
      </c>
      <c r="C638" s="5" t="s">
        <v>65</v>
      </c>
      <c r="D638" s="36" t="s">
        <v>1249</v>
      </c>
      <c r="E638" s="53"/>
      <c r="F638" s="53"/>
      <c r="G638" s="83"/>
      <c r="H638" s="83"/>
      <c r="I638" s="54"/>
      <c r="J638" s="54"/>
      <c r="K638" s="5" t="s">
        <v>910</v>
      </c>
      <c r="L638" s="10" t="str">
        <f t="shared" si="47"/>
        <v>Desenvolvimento</v>
      </c>
    </row>
    <row r="639" spans="1:12" ht="15" hidden="1" customHeight="1">
      <c r="A639" s="21">
        <v>1595</v>
      </c>
      <c r="B639" s="5" t="s">
        <v>1506</v>
      </c>
      <c r="C639" s="5" t="s">
        <v>65</v>
      </c>
      <c r="D639" s="9" t="s">
        <v>1250</v>
      </c>
      <c r="E639" s="6">
        <v>45979</v>
      </c>
      <c r="F639" s="91">
        <f>EOMONTH(E639,12)</f>
        <v>46356</v>
      </c>
      <c r="G639" s="78"/>
      <c r="H639" s="78" t="s">
        <v>2068</v>
      </c>
      <c r="I639" s="16" t="s">
        <v>909</v>
      </c>
      <c r="J639" s="16"/>
      <c r="K639" s="5" t="s">
        <v>6</v>
      </c>
      <c r="L639" s="10" t="str">
        <f t="shared" ref="L639" ca="1" si="53">IF(K639="TERCEIRO","TERCEIRO",IF(K639="EM MODIF.","EM MODIF.",IF(K639="INATIVO","INATIVO",IF($E639="","Desenvolvimento",IF($F639&lt;$M$1,"Atrasado","Calibrado")))))</f>
        <v>Calibrado</v>
      </c>
    </row>
    <row r="640" spans="1:12" ht="15" hidden="1" customHeight="1">
      <c r="A640" s="21">
        <v>1597</v>
      </c>
      <c r="B640" s="5" t="s">
        <v>1506</v>
      </c>
      <c r="C640" s="30" t="s">
        <v>35</v>
      </c>
      <c r="D640" s="69" t="s">
        <v>1251</v>
      </c>
      <c r="E640" s="53"/>
      <c r="F640" s="53"/>
      <c r="G640" s="83"/>
      <c r="H640" s="83"/>
      <c r="I640" s="54"/>
      <c r="J640" s="54"/>
      <c r="K640" s="5" t="s">
        <v>910</v>
      </c>
      <c r="L640" s="10" t="str">
        <f t="shared" si="47"/>
        <v>Desenvolvimento</v>
      </c>
    </row>
    <row r="641" spans="1:12" ht="15" hidden="1" customHeight="1">
      <c r="A641" s="21">
        <v>1598</v>
      </c>
      <c r="B641" s="5" t="s">
        <v>1506</v>
      </c>
      <c r="C641" s="22" t="s">
        <v>32</v>
      </c>
      <c r="D641" s="9" t="s">
        <v>1430</v>
      </c>
      <c r="E641" s="6">
        <v>45889</v>
      </c>
      <c r="F641" s="91">
        <f>EOMONTH(E641,12)</f>
        <v>46265</v>
      </c>
      <c r="G641" s="78"/>
      <c r="H641" s="78"/>
      <c r="I641" s="16" t="s">
        <v>66</v>
      </c>
      <c r="J641" s="16"/>
      <c r="K641" s="5" t="s">
        <v>6</v>
      </c>
      <c r="L641" s="10" t="str">
        <f t="shared" ca="1" si="47"/>
        <v>Calibrado</v>
      </c>
    </row>
    <row r="642" spans="1:12" ht="15" hidden="1" customHeight="1">
      <c r="A642" s="21">
        <v>1599</v>
      </c>
      <c r="B642" s="5" t="s">
        <v>1506</v>
      </c>
      <c r="C642" s="22" t="s">
        <v>32</v>
      </c>
      <c r="D642" s="5" t="s">
        <v>1431</v>
      </c>
      <c r="E642" s="6">
        <v>45889</v>
      </c>
      <c r="F642" s="91">
        <f>EOMONTH(E642,12)</f>
        <v>46265</v>
      </c>
      <c r="G642" s="78"/>
      <c r="H642" s="78"/>
      <c r="I642" s="16" t="s">
        <v>66</v>
      </c>
      <c r="J642" s="16"/>
      <c r="K642" s="5" t="s">
        <v>6</v>
      </c>
      <c r="L642" s="10" t="str">
        <f t="shared" ca="1" si="47"/>
        <v>Calibrado</v>
      </c>
    </row>
    <row r="643" spans="1:12" ht="15" hidden="1" customHeight="1">
      <c r="A643" s="21">
        <v>1601</v>
      </c>
      <c r="B643" s="5" t="s">
        <v>1506</v>
      </c>
      <c r="C643" s="5" t="s">
        <v>65</v>
      </c>
      <c r="D643" s="9" t="s">
        <v>1551</v>
      </c>
      <c r="E643" s="6">
        <v>45976</v>
      </c>
      <c r="F643" s="91">
        <f>EOMONTH(E643,12)</f>
        <v>46356</v>
      </c>
      <c r="G643" s="78"/>
      <c r="H643" s="78" t="s">
        <v>2068</v>
      </c>
      <c r="I643" s="16" t="s">
        <v>1802</v>
      </c>
      <c r="J643" s="16"/>
      <c r="K643" s="5" t="s">
        <v>6</v>
      </c>
      <c r="L643" s="10" t="str">
        <f t="shared" ref="L643" ca="1" si="54">IF(K643="TERCEIRO","TERCEIRO",IF(K643="EM MODIF.","EM MODIF.",IF(K643="INATIVO","INATIVO",IF($E643="","Desenvolvimento",IF($F643&lt;$M$1,"Atrasado","Calibrado")))))</f>
        <v>Calibrado</v>
      </c>
    </row>
    <row r="644" spans="1:12" ht="15" hidden="1" customHeight="1">
      <c r="A644" s="21">
        <v>1602</v>
      </c>
      <c r="B644" s="5" t="s">
        <v>1506</v>
      </c>
      <c r="C644" s="5" t="s">
        <v>65</v>
      </c>
      <c r="D644" s="9" t="s">
        <v>1552</v>
      </c>
      <c r="E644" s="6">
        <v>46228</v>
      </c>
      <c r="F644" s="91">
        <f t="shared" ref="F644:F657" si="55">EOMONTH(E644,12)</f>
        <v>46599</v>
      </c>
      <c r="G644" s="78" t="s">
        <v>2063</v>
      </c>
      <c r="H644" s="78" t="s">
        <v>2068</v>
      </c>
      <c r="I644" s="16" t="s">
        <v>909</v>
      </c>
      <c r="J644" s="16" t="s">
        <v>2124</v>
      </c>
      <c r="K644" s="5" t="s">
        <v>6</v>
      </c>
      <c r="L644" s="10" t="str">
        <f t="shared" ref="L644:L706" ca="1" si="56">IF(K644="TERCEIRO","TERCEIRO",IF(K644="EM MODIF.","EM MODIF.",IF(K644="INATIVO","INATIVO",IF($E644="","Desenvolvimento",IF($F644&lt;$M$1,"Atrasado","Calibrado")))))</f>
        <v>Calibrado</v>
      </c>
    </row>
    <row r="645" spans="1:12" ht="15" hidden="1" customHeight="1">
      <c r="A645" s="21">
        <v>1603</v>
      </c>
      <c r="B645" s="5" t="s">
        <v>1506</v>
      </c>
      <c r="C645" s="5" t="s">
        <v>65</v>
      </c>
      <c r="D645" s="9" t="s">
        <v>1553</v>
      </c>
      <c r="E645" s="6">
        <v>46228</v>
      </c>
      <c r="F645" s="91">
        <f t="shared" si="55"/>
        <v>46599</v>
      </c>
      <c r="G645" s="78" t="s">
        <v>2063</v>
      </c>
      <c r="H645" s="78" t="s">
        <v>2068</v>
      </c>
      <c r="I645" s="16" t="s">
        <v>909</v>
      </c>
      <c r="J645" s="16" t="s">
        <v>2125</v>
      </c>
      <c r="K645" s="5" t="s">
        <v>6</v>
      </c>
      <c r="L645" s="10" t="str">
        <f t="shared" ca="1" si="56"/>
        <v>Calibrado</v>
      </c>
    </row>
    <row r="646" spans="1:12" ht="15" hidden="1" customHeight="1">
      <c r="A646" s="21">
        <v>1604</v>
      </c>
      <c r="B646" s="5" t="s">
        <v>1506</v>
      </c>
      <c r="C646" s="5" t="s">
        <v>65</v>
      </c>
      <c r="D646" s="9" t="s">
        <v>1554</v>
      </c>
      <c r="E646" s="6">
        <v>46228</v>
      </c>
      <c r="F646" s="91">
        <f t="shared" si="55"/>
        <v>46599</v>
      </c>
      <c r="G646" s="78" t="s">
        <v>2063</v>
      </c>
      <c r="H646" s="78" t="s">
        <v>2068</v>
      </c>
      <c r="I646" s="16" t="s">
        <v>909</v>
      </c>
      <c r="J646" s="16" t="s">
        <v>2126</v>
      </c>
      <c r="K646" s="5" t="s">
        <v>6</v>
      </c>
      <c r="L646" s="10" t="str">
        <f t="shared" ca="1" si="56"/>
        <v>Calibrado</v>
      </c>
    </row>
    <row r="647" spans="1:12" ht="15" hidden="1" customHeight="1">
      <c r="A647" s="21">
        <v>1605</v>
      </c>
      <c r="B647" s="5" t="s">
        <v>1506</v>
      </c>
      <c r="C647" s="13" t="s">
        <v>46</v>
      </c>
      <c r="D647" s="9" t="s">
        <v>1699</v>
      </c>
      <c r="E647" s="6">
        <v>46146</v>
      </c>
      <c r="F647" s="91">
        <f t="shared" si="55"/>
        <v>46538</v>
      </c>
      <c r="G647" s="78"/>
      <c r="H647" s="78"/>
      <c r="I647" s="16" t="s">
        <v>1802</v>
      </c>
      <c r="J647" s="16" t="s">
        <v>1918</v>
      </c>
      <c r="K647" s="5" t="s">
        <v>6</v>
      </c>
      <c r="L647" s="10" t="str">
        <f t="shared" ca="1" si="56"/>
        <v>Calibrado</v>
      </c>
    </row>
    <row r="648" spans="1:12" ht="15" hidden="1" customHeight="1">
      <c r="A648" s="21">
        <v>1606</v>
      </c>
      <c r="B648" s="5" t="s">
        <v>1506</v>
      </c>
      <c r="C648" s="13" t="s">
        <v>46</v>
      </c>
      <c r="D648" s="9" t="s">
        <v>1723</v>
      </c>
      <c r="E648" s="6">
        <v>46146</v>
      </c>
      <c r="F648" s="91">
        <f t="shared" si="55"/>
        <v>46538</v>
      </c>
      <c r="G648" s="78"/>
      <c r="H648" s="78"/>
      <c r="I648" s="16" t="s">
        <v>1843</v>
      </c>
      <c r="J648" s="16" t="s">
        <v>1919</v>
      </c>
      <c r="K648" s="5" t="s">
        <v>6</v>
      </c>
      <c r="L648" s="10" t="str">
        <f t="shared" ca="1" si="56"/>
        <v>Calibrado</v>
      </c>
    </row>
    <row r="649" spans="1:12" ht="15" hidden="1" customHeight="1">
      <c r="A649" s="21">
        <v>1607</v>
      </c>
      <c r="B649" s="5" t="s">
        <v>1506</v>
      </c>
      <c r="C649" s="13" t="s">
        <v>46</v>
      </c>
      <c r="D649" s="9" t="s">
        <v>1724</v>
      </c>
      <c r="E649" s="6">
        <v>45967</v>
      </c>
      <c r="F649" s="91">
        <f t="shared" si="55"/>
        <v>46356</v>
      </c>
      <c r="G649" s="78"/>
      <c r="H649" s="78"/>
      <c r="I649" s="16" t="s">
        <v>1802</v>
      </c>
      <c r="J649" s="16"/>
      <c r="K649" s="5" t="s">
        <v>6</v>
      </c>
      <c r="L649" s="10" t="str">
        <f t="shared" ca="1" si="56"/>
        <v>Calibrado</v>
      </c>
    </row>
    <row r="650" spans="1:12" ht="15" hidden="1" customHeight="1">
      <c r="A650" s="21">
        <v>1608</v>
      </c>
      <c r="B650" s="5" t="s">
        <v>1506</v>
      </c>
      <c r="C650" s="13" t="s">
        <v>46</v>
      </c>
      <c r="D650" s="9" t="s">
        <v>1725</v>
      </c>
      <c r="E650" s="6">
        <v>46230</v>
      </c>
      <c r="F650" s="91">
        <f t="shared" si="55"/>
        <v>46599</v>
      </c>
      <c r="G650" s="78" t="s">
        <v>2062</v>
      </c>
      <c r="H650" s="78" t="s">
        <v>2068</v>
      </c>
      <c r="I650" s="16" t="s">
        <v>909</v>
      </c>
      <c r="J650" s="16" t="s">
        <v>2154</v>
      </c>
      <c r="K650" s="5" t="s">
        <v>6</v>
      </c>
      <c r="L650" s="10" t="str">
        <f t="shared" ca="1" si="56"/>
        <v>Calibrado</v>
      </c>
    </row>
    <row r="651" spans="1:12" ht="15" hidden="1" customHeight="1">
      <c r="A651" s="21">
        <v>1609</v>
      </c>
      <c r="B651" s="5" t="s">
        <v>1506</v>
      </c>
      <c r="C651" s="13" t="s">
        <v>46</v>
      </c>
      <c r="D651" s="9" t="s">
        <v>1726</v>
      </c>
      <c r="E651" s="6">
        <v>45975</v>
      </c>
      <c r="F651" s="91">
        <f t="shared" si="55"/>
        <v>46356</v>
      </c>
      <c r="G651" s="78"/>
      <c r="H651" s="78"/>
      <c r="I651" s="16" t="s">
        <v>909</v>
      </c>
      <c r="J651" s="16"/>
      <c r="K651" s="5" t="s">
        <v>6</v>
      </c>
      <c r="L651" s="10" t="str">
        <f t="shared" ca="1" si="56"/>
        <v>Calibrado</v>
      </c>
    </row>
    <row r="652" spans="1:12" ht="15" hidden="1" customHeight="1">
      <c r="A652" s="21">
        <v>1610</v>
      </c>
      <c r="B652" s="5" t="s">
        <v>1506</v>
      </c>
      <c r="C652" s="13" t="s">
        <v>46</v>
      </c>
      <c r="D652" s="9" t="s">
        <v>1727</v>
      </c>
      <c r="E652" s="6">
        <v>46112</v>
      </c>
      <c r="F652" s="91">
        <f t="shared" si="55"/>
        <v>46477</v>
      </c>
      <c r="G652" s="80" t="s">
        <v>2062</v>
      </c>
      <c r="H652" s="80"/>
      <c r="I652" s="16" t="s">
        <v>66</v>
      </c>
      <c r="J652" s="16" t="s">
        <v>1856</v>
      </c>
      <c r="K652" s="5" t="s">
        <v>6</v>
      </c>
      <c r="L652" s="10" t="str">
        <f t="shared" ca="1" si="56"/>
        <v>Calibrado</v>
      </c>
    </row>
    <row r="653" spans="1:12" ht="15" hidden="1" customHeight="1">
      <c r="A653" s="21">
        <v>1611</v>
      </c>
      <c r="B653" s="5" t="s">
        <v>1506</v>
      </c>
      <c r="C653" s="13" t="s">
        <v>46</v>
      </c>
      <c r="D653" s="9" t="s">
        <v>1800</v>
      </c>
      <c r="E653" s="6">
        <v>46112</v>
      </c>
      <c r="F653" s="91">
        <f t="shared" si="55"/>
        <v>46477</v>
      </c>
      <c r="G653" s="87"/>
      <c r="H653" s="80"/>
      <c r="I653" s="16" t="s">
        <v>66</v>
      </c>
      <c r="J653" s="16" t="s">
        <v>1857</v>
      </c>
      <c r="K653" s="5" t="s">
        <v>6</v>
      </c>
      <c r="L653" s="10" t="str">
        <f t="shared" ca="1" si="56"/>
        <v>Calibrado</v>
      </c>
    </row>
    <row r="654" spans="1:12" ht="15" hidden="1" customHeight="1">
      <c r="A654" s="21">
        <v>1612</v>
      </c>
      <c r="B654" s="5" t="s">
        <v>1506</v>
      </c>
      <c r="C654" s="13" t="s">
        <v>46</v>
      </c>
      <c r="D654" s="9" t="s">
        <v>2120</v>
      </c>
      <c r="E654" s="6">
        <v>46230</v>
      </c>
      <c r="F654" s="91">
        <f t="shared" si="55"/>
        <v>46599</v>
      </c>
      <c r="G654" s="78" t="s">
        <v>2062</v>
      </c>
      <c r="H654" s="78" t="s">
        <v>2068</v>
      </c>
      <c r="I654" s="16" t="s">
        <v>909</v>
      </c>
      <c r="J654" s="16" t="s">
        <v>2155</v>
      </c>
      <c r="K654" s="5" t="s">
        <v>6</v>
      </c>
      <c r="L654" s="10" t="str">
        <f t="shared" ca="1" si="56"/>
        <v>Calibrado</v>
      </c>
    </row>
    <row r="655" spans="1:12" ht="15" hidden="1" customHeight="1">
      <c r="A655" s="21">
        <v>1613</v>
      </c>
      <c r="B655" s="5" t="s">
        <v>1506</v>
      </c>
      <c r="C655" s="13" t="s">
        <v>46</v>
      </c>
      <c r="D655" s="9" t="s">
        <v>1728</v>
      </c>
      <c r="E655" s="6">
        <v>46064</v>
      </c>
      <c r="F655" s="91">
        <f t="shared" si="55"/>
        <v>46446</v>
      </c>
      <c r="G655" s="78" t="s">
        <v>2062</v>
      </c>
      <c r="H655" s="78" t="s">
        <v>2068</v>
      </c>
      <c r="I655" s="5" t="s">
        <v>64</v>
      </c>
      <c r="J655" s="16" t="s">
        <v>985</v>
      </c>
      <c r="K655" s="5" t="s">
        <v>6</v>
      </c>
      <c r="L655" s="10" t="str">
        <f t="shared" ca="1" si="56"/>
        <v>Calibrado</v>
      </c>
    </row>
    <row r="656" spans="1:12" ht="15" hidden="1" customHeight="1">
      <c r="A656" s="21">
        <v>1614</v>
      </c>
      <c r="B656" s="5" t="s">
        <v>1506</v>
      </c>
      <c r="C656" s="13" t="s">
        <v>46</v>
      </c>
      <c r="D656" s="9" t="s">
        <v>1729</v>
      </c>
      <c r="E656" s="6">
        <v>46001</v>
      </c>
      <c r="F656" s="91">
        <f t="shared" si="55"/>
        <v>46387</v>
      </c>
      <c r="G656" s="78"/>
      <c r="H656" s="78"/>
      <c r="I656" s="16" t="s">
        <v>61</v>
      </c>
      <c r="J656" s="16"/>
      <c r="K656" s="5" t="s">
        <v>6</v>
      </c>
      <c r="L656" s="10" t="str">
        <f t="shared" ca="1" si="56"/>
        <v>Calibrado</v>
      </c>
    </row>
    <row r="657" spans="1:12" ht="15" hidden="1" customHeight="1">
      <c r="A657" s="21">
        <v>1615</v>
      </c>
      <c r="B657" s="5" t="s">
        <v>1506</v>
      </c>
      <c r="C657" s="13" t="s">
        <v>46</v>
      </c>
      <c r="D657" s="9" t="s">
        <v>1700</v>
      </c>
      <c r="E657" s="6">
        <v>46170</v>
      </c>
      <c r="F657" s="91">
        <f t="shared" si="55"/>
        <v>46538</v>
      </c>
      <c r="G657" s="78"/>
      <c r="H657" s="78"/>
      <c r="I657" s="16" t="s">
        <v>1802</v>
      </c>
      <c r="J657" s="16" t="s">
        <v>1979</v>
      </c>
      <c r="K657" s="5" t="s">
        <v>6</v>
      </c>
      <c r="L657" s="10" t="str">
        <f t="shared" ca="1" si="56"/>
        <v>Calibrado</v>
      </c>
    </row>
    <row r="658" spans="1:12" ht="15" hidden="1" customHeight="1">
      <c r="A658" s="21">
        <v>1616</v>
      </c>
      <c r="B658" s="5" t="s">
        <v>1506</v>
      </c>
      <c r="C658" s="13" t="s">
        <v>46</v>
      </c>
      <c r="D658" s="9" t="s">
        <v>1730</v>
      </c>
      <c r="E658" s="6">
        <v>46182</v>
      </c>
      <c r="F658" s="91">
        <f t="shared" ref="F658" si="57">EOMONTH(E658,12)</f>
        <v>46568</v>
      </c>
      <c r="G658" s="78" t="s">
        <v>2063</v>
      </c>
      <c r="H658" s="78"/>
      <c r="I658" s="5" t="s">
        <v>64</v>
      </c>
      <c r="J658" s="16" t="s">
        <v>2002</v>
      </c>
      <c r="K658" s="5" t="s">
        <v>6</v>
      </c>
      <c r="L658" s="10" t="str">
        <f t="shared" ca="1" si="56"/>
        <v>Calibrado</v>
      </c>
    </row>
    <row r="659" spans="1:12" ht="15" hidden="1" customHeight="1">
      <c r="A659" s="21">
        <v>1617</v>
      </c>
      <c r="B659" s="5" t="s">
        <v>1506</v>
      </c>
      <c r="C659" s="13" t="s">
        <v>46</v>
      </c>
      <c r="D659" s="9" t="s">
        <v>1731</v>
      </c>
      <c r="E659" s="6">
        <v>46081</v>
      </c>
      <c r="F659" s="91">
        <f t="shared" ref="F659:F696" si="58">EOMONTH(E659,12)</f>
        <v>46446</v>
      </c>
      <c r="G659" s="78" t="s">
        <v>2062</v>
      </c>
      <c r="H659" s="78" t="s">
        <v>2068</v>
      </c>
      <c r="I659" s="5" t="s">
        <v>64</v>
      </c>
      <c r="J659" s="16" t="s">
        <v>985</v>
      </c>
      <c r="K659" s="5" t="s">
        <v>6</v>
      </c>
      <c r="L659" s="10" t="str">
        <f t="shared" ca="1" si="56"/>
        <v>Calibrado</v>
      </c>
    </row>
    <row r="660" spans="1:12" ht="15" hidden="1" customHeight="1">
      <c r="A660" s="21">
        <v>1618</v>
      </c>
      <c r="B660" s="5" t="s">
        <v>1506</v>
      </c>
      <c r="C660" s="13" t="s">
        <v>46</v>
      </c>
      <c r="D660" s="9" t="s">
        <v>1732</v>
      </c>
      <c r="E660" s="6">
        <v>46070</v>
      </c>
      <c r="F660" s="91">
        <f t="shared" si="58"/>
        <v>46446</v>
      </c>
      <c r="G660" s="78" t="s">
        <v>2062</v>
      </c>
      <c r="H660" s="78" t="s">
        <v>2068</v>
      </c>
      <c r="I660" s="5" t="s">
        <v>64</v>
      </c>
      <c r="J660" s="16" t="s">
        <v>1802</v>
      </c>
      <c r="K660" s="5" t="s">
        <v>6</v>
      </c>
      <c r="L660" s="10" t="str">
        <f t="shared" ca="1" si="56"/>
        <v>Calibrado</v>
      </c>
    </row>
    <row r="661" spans="1:12" ht="15" hidden="1" customHeight="1">
      <c r="A661" s="21">
        <v>1619</v>
      </c>
      <c r="B661" s="5" t="s">
        <v>1506</v>
      </c>
      <c r="C661" s="13" t="s">
        <v>46</v>
      </c>
      <c r="D661" s="9" t="s">
        <v>1733</v>
      </c>
      <c r="E661" s="6">
        <v>46069</v>
      </c>
      <c r="F661" s="91">
        <f t="shared" si="58"/>
        <v>46446</v>
      </c>
      <c r="G661" s="78" t="s">
        <v>2062</v>
      </c>
      <c r="H661" s="78" t="s">
        <v>2068</v>
      </c>
      <c r="I661" s="5" t="s">
        <v>64</v>
      </c>
      <c r="J661" s="16" t="s">
        <v>1802</v>
      </c>
      <c r="K661" s="5" t="s">
        <v>6</v>
      </c>
      <c r="L661" s="10" t="str">
        <f t="shared" ca="1" si="56"/>
        <v>Calibrado</v>
      </c>
    </row>
    <row r="662" spans="1:12" ht="15" hidden="1" customHeight="1">
      <c r="A662" s="21">
        <v>1620</v>
      </c>
      <c r="B662" s="5" t="s">
        <v>1506</v>
      </c>
      <c r="C662" s="13" t="s">
        <v>46</v>
      </c>
      <c r="D662" s="9" t="s">
        <v>1701</v>
      </c>
      <c r="E662" s="6">
        <v>45870</v>
      </c>
      <c r="F662" s="91">
        <f t="shared" si="58"/>
        <v>46265</v>
      </c>
      <c r="G662" s="78"/>
      <c r="H662" s="78"/>
      <c r="I662" s="16" t="s">
        <v>1802</v>
      </c>
      <c r="J662" s="16"/>
      <c r="K662" s="5" t="s">
        <v>6</v>
      </c>
      <c r="L662" s="10" t="str">
        <f t="shared" ca="1" si="56"/>
        <v>Calibrado</v>
      </c>
    </row>
    <row r="663" spans="1:12" ht="15" hidden="1" customHeight="1">
      <c r="A663" s="21">
        <v>1621</v>
      </c>
      <c r="B663" s="5" t="s">
        <v>1506</v>
      </c>
      <c r="C663" s="13" t="s">
        <v>46</v>
      </c>
      <c r="D663" s="9" t="s">
        <v>1734</v>
      </c>
      <c r="E663" s="6">
        <v>46202</v>
      </c>
      <c r="F663" s="91">
        <f t="shared" si="58"/>
        <v>46568</v>
      </c>
      <c r="G663" s="78" t="s">
        <v>2063</v>
      </c>
      <c r="H663" s="78"/>
      <c r="I663" s="16" t="s">
        <v>1843</v>
      </c>
      <c r="J663" s="16" t="s">
        <v>2044</v>
      </c>
      <c r="K663" s="5" t="s">
        <v>6</v>
      </c>
      <c r="L663" s="10" t="str">
        <f t="shared" ca="1" si="56"/>
        <v>Calibrado</v>
      </c>
    </row>
    <row r="664" spans="1:12" ht="15" hidden="1" customHeight="1">
      <c r="A664" s="21">
        <v>1622</v>
      </c>
      <c r="B664" s="5" t="s">
        <v>1506</v>
      </c>
      <c r="C664" s="13" t="s">
        <v>46</v>
      </c>
      <c r="D664" s="9" t="s">
        <v>1735</v>
      </c>
      <c r="E664" s="6">
        <v>45978</v>
      </c>
      <c r="F664" s="91">
        <f t="shared" si="58"/>
        <v>46356</v>
      </c>
      <c r="G664" s="78"/>
      <c r="H664" s="78"/>
      <c r="I664" s="16" t="s">
        <v>909</v>
      </c>
      <c r="J664" s="16"/>
      <c r="K664" s="5" t="s">
        <v>6</v>
      </c>
      <c r="L664" s="10" t="str">
        <f t="shared" ca="1" si="56"/>
        <v>Calibrado</v>
      </c>
    </row>
    <row r="665" spans="1:12" ht="15" hidden="1" customHeight="1">
      <c r="A665" s="21">
        <v>1623</v>
      </c>
      <c r="B665" s="5" t="s">
        <v>1506</v>
      </c>
      <c r="C665" s="13" t="s">
        <v>46</v>
      </c>
      <c r="D665" s="9" t="s">
        <v>1736</v>
      </c>
      <c r="E665" s="6">
        <v>45978</v>
      </c>
      <c r="F665" s="91">
        <f t="shared" si="58"/>
        <v>46356</v>
      </c>
      <c r="G665" s="78"/>
      <c r="H665" s="78"/>
      <c r="I665" s="16" t="s">
        <v>909</v>
      </c>
      <c r="J665" s="16"/>
      <c r="K665" s="5" t="s">
        <v>6</v>
      </c>
      <c r="L665" s="10" t="str">
        <f t="shared" ca="1" si="56"/>
        <v>Calibrado</v>
      </c>
    </row>
    <row r="666" spans="1:12" ht="15" hidden="1" customHeight="1">
      <c r="A666" s="21">
        <v>1624</v>
      </c>
      <c r="B666" s="5" t="s">
        <v>1506</v>
      </c>
      <c r="C666" s="13" t="s">
        <v>46</v>
      </c>
      <c r="D666" s="9" t="s">
        <v>1702</v>
      </c>
      <c r="E666" s="6">
        <v>45967</v>
      </c>
      <c r="F666" s="91">
        <f t="shared" si="58"/>
        <v>46356</v>
      </c>
      <c r="G666" s="78"/>
      <c r="H666" s="78"/>
      <c r="I666" s="16" t="s">
        <v>1920</v>
      </c>
      <c r="J666" s="16"/>
      <c r="K666" s="5" t="s">
        <v>6</v>
      </c>
      <c r="L666" s="10" t="str">
        <f t="shared" ca="1" si="56"/>
        <v>Calibrado</v>
      </c>
    </row>
    <row r="667" spans="1:12" ht="15" hidden="1" customHeight="1">
      <c r="A667" s="21">
        <v>1625</v>
      </c>
      <c r="B667" s="5" t="s">
        <v>1506</v>
      </c>
      <c r="C667" s="13" t="s">
        <v>46</v>
      </c>
      <c r="D667" s="9" t="s">
        <v>1703</v>
      </c>
      <c r="E667" s="6">
        <v>46143</v>
      </c>
      <c r="F667" s="91">
        <f t="shared" si="58"/>
        <v>46538</v>
      </c>
      <c r="G667" s="78"/>
      <c r="H667" s="78"/>
      <c r="I667" s="5" t="s">
        <v>64</v>
      </c>
      <c r="J667" s="16" t="s">
        <v>66</v>
      </c>
      <c r="K667" s="5" t="s">
        <v>6</v>
      </c>
      <c r="L667" s="10" t="str">
        <f t="shared" ca="1" si="56"/>
        <v>Calibrado</v>
      </c>
    </row>
    <row r="668" spans="1:12" ht="15" hidden="1" customHeight="1">
      <c r="A668" s="21">
        <v>1626</v>
      </c>
      <c r="B668" s="5" t="s">
        <v>1506</v>
      </c>
      <c r="C668" s="13" t="s">
        <v>46</v>
      </c>
      <c r="D668" s="9" t="s">
        <v>1737</v>
      </c>
      <c r="E668" s="6">
        <v>46171</v>
      </c>
      <c r="F668" s="91">
        <f t="shared" si="58"/>
        <v>46538</v>
      </c>
      <c r="G668" s="78"/>
      <c r="H668" s="78"/>
      <c r="I668" s="16" t="s">
        <v>1843</v>
      </c>
      <c r="J668" s="16" t="s">
        <v>1980</v>
      </c>
      <c r="K668" s="5" t="s">
        <v>6</v>
      </c>
      <c r="L668" s="10" t="str">
        <f t="shared" ca="1" si="56"/>
        <v>Calibrado</v>
      </c>
    </row>
    <row r="669" spans="1:12" ht="15" hidden="1" customHeight="1">
      <c r="A669" s="21">
        <v>1627</v>
      </c>
      <c r="B669" s="5" t="s">
        <v>1506</v>
      </c>
      <c r="C669" s="13" t="s">
        <v>46</v>
      </c>
      <c r="D669" s="9" t="s">
        <v>1704</v>
      </c>
      <c r="E669" s="6">
        <v>46002</v>
      </c>
      <c r="F669" s="91">
        <f t="shared" si="58"/>
        <v>46387</v>
      </c>
      <c r="G669" s="78"/>
      <c r="H669" s="78"/>
      <c r="I669" s="16" t="s">
        <v>61</v>
      </c>
      <c r="J669" s="16"/>
      <c r="K669" s="5" t="s">
        <v>6</v>
      </c>
      <c r="L669" s="10" t="str">
        <f t="shared" ca="1" si="56"/>
        <v>Calibrado</v>
      </c>
    </row>
    <row r="670" spans="1:12" ht="15" hidden="1" customHeight="1">
      <c r="A670" s="21">
        <v>1628</v>
      </c>
      <c r="B670" s="5" t="s">
        <v>1506</v>
      </c>
      <c r="C670" s="13" t="s">
        <v>46</v>
      </c>
      <c r="D670" s="9" t="s">
        <v>1705</v>
      </c>
      <c r="E670" s="6">
        <v>45986</v>
      </c>
      <c r="F670" s="91">
        <f t="shared" si="58"/>
        <v>46356</v>
      </c>
      <c r="G670" s="78"/>
      <c r="H670" s="78"/>
      <c r="I670" s="16" t="s">
        <v>909</v>
      </c>
      <c r="J670" s="16"/>
      <c r="K670" s="5" t="s">
        <v>6</v>
      </c>
      <c r="L670" s="10" t="str">
        <f t="shared" ca="1" si="56"/>
        <v>Calibrado</v>
      </c>
    </row>
    <row r="671" spans="1:12" ht="15" hidden="1" customHeight="1">
      <c r="A671" s="21">
        <v>1629</v>
      </c>
      <c r="B671" s="5" t="s">
        <v>1506</v>
      </c>
      <c r="C671" s="13" t="s">
        <v>46</v>
      </c>
      <c r="D671" s="9" t="s">
        <v>1738</v>
      </c>
      <c r="E671" s="6">
        <v>45925</v>
      </c>
      <c r="F671" s="91">
        <f t="shared" si="58"/>
        <v>46295</v>
      </c>
      <c r="G671" s="78" t="s">
        <v>2062</v>
      </c>
      <c r="H671" s="78"/>
      <c r="I671" s="16" t="s">
        <v>1802</v>
      </c>
      <c r="J671" s="16"/>
      <c r="K671" s="5" t="s">
        <v>6</v>
      </c>
      <c r="L671" s="10" t="str">
        <f t="shared" ca="1" si="56"/>
        <v>Calibrado</v>
      </c>
    </row>
    <row r="672" spans="1:12" ht="15" hidden="1" customHeight="1">
      <c r="A672" s="21">
        <v>1630</v>
      </c>
      <c r="B672" s="5" t="s">
        <v>1506</v>
      </c>
      <c r="C672" s="13" t="s">
        <v>46</v>
      </c>
      <c r="D672" s="9" t="s">
        <v>1706</v>
      </c>
      <c r="E672" s="6">
        <v>46171</v>
      </c>
      <c r="F672" s="91">
        <f t="shared" si="58"/>
        <v>46538</v>
      </c>
      <c r="G672" s="78"/>
      <c r="H672" s="78"/>
      <c r="I672" s="16" t="s">
        <v>1844</v>
      </c>
      <c r="J672" s="16" t="s">
        <v>1981</v>
      </c>
      <c r="K672" s="5" t="s">
        <v>6</v>
      </c>
      <c r="L672" s="10" t="str">
        <f t="shared" ca="1" si="56"/>
        <v>Calibrado</v>
      </c>
    </row>
    <row r="673" spans="1:12" ht="15" hidden="1" customHeight="1">
      <c r="A673" s="21">
        <v>1631</v>
      </c>
      <c r="B673" s="5" t="s">
        <v>1506</v>
      </c>
      <c r="C673" s="13" t="s">
        <v>46</v>
      </c>
      <c r="D673" s="9" t="s">
        <v>1707</v>
      </c>
      <c r="E673" s="6">
        <v>46172</v>
      </c>
      <c r="F673" s="91">
        <f t="shared" si="58"/>
        <v>46538</v>
      </c>
      <c r="G673" s="78"/>
      <c r="H673" s="78"/>
      <c r="I673" s="16" t="s">
        <v>1844</v>
      </c>
      <c r="J673" s="16" t="s">
        <v>1982</v>
      </c>
      <c r="K673" s="5" t="s">
        <v>6</v>
      </c>
      <c r="L673" s="10" t="str">
        <f t="shared" ca="1" si="56"/>
        <v>Calibrado</v>
      </c>
    </row>
    <row r="674" spans="1:12" ht="15" hidden="1" customHeight="1">
      <c r="A674" s="21">
        <v>1632</v>
      </c>
      <c r="B674" s="5" t="s">
        <v>1506</v>
      </c>
      <c r="C674" s="13" t="s">
        <v>46</v>
      </c>
      <c r="D674" s="9" t="s">
        <v>1708</v>
      </c>
      <c r="E674" s="6">
        <v>46231</v>
      </c>
      <c r="F674" s="91">
        <f t="shared" si="58"/>
        <v>46599</v>
      </c>
      <c r="G674" s="78" t="s">
        <v>2062</v>
      </c>
      <c r="H674" s="78" t="s">
        <v>2068</v>
      </c>
      <c r="I674" s="16" t="s">
        <v>909</v>
      </c>
      <c r="J674" s="16" t="s">
        <v>2156</v>
      </c>
      <c r="K674" s="5" t="s">
        <v>6</v>
      </c>
      <c r="L674" s="10" t="str">
        <f t="shared" ca="1" si="56"/>
        <v>Calibrado</v>
      </c>
    </row>
    <row r="675" spans="1:12" ht="15" hidden="1" customHeight="1">
      <c r="A675" s="21">
        <v>1633</v>
      </c>
      <c r="B675" s="5" t="s">
        <v>1506</v>
      </c>
      <c r="C675" s="13" t="s">
        <v>46</v>
      </c>
      <c r="D675" s="9" t="s">
        <v>2121</v>
      </c>
      <c r="E675" s="6">
        <v>46231</v>
      </c>
      <c r="F675" s="91">
        <f t="shared" si="58"/>
        <v>46599</v>
      </c>
      <c r="G675" s="78" t="s">
        <v>2062</v>
      </c>
      <c r="H675" s="78" t="s">
        <v>2068</v>
      </c>
      <c r="I675" s="16" t="s">
        <v>909</v>
      </c>
      <c r="J675" s="16" t="s">
        <v>2157</v>
      </c>
      <c r="K675" s="5" t="s">
        <v>6</v>
      </c>
      <c r="L675" s="10" t="str">
        <f t="shared" ca="1" si="56"/>
        <v>Calibrado</v>
      </c>
    </row>
    <row r="676" spans="1:12" ht="15" hidden="1" customHeight="1">
      <c r="A676" s="21">
        <v>1634</v>
      </c>
      <c r="B676" s="5" t="s">
        <v>1506</v>
      </c>
      <c r="C676" s="13" t="s">
        <v>46</v>
      </c>
      <c r="D676" s="9" t="s">
        <v>2122</v>
      </c>
      <c r="E676" s="6">
        <v>46231</v>
      </c>
      <c r="F676" s="91">
        <f t="shared" si="58"/>
        <v>46599</v>
      </c>
      <c r="G676" s="78" t="s">
        <v>2062</v>
      </c>
      <c r="H676" s="78" t="s">
        <v>2068</v>
      </c>
      <c r="I676" s="16" t="s">
        <v>909</v>
      </c>
      <c r="J676" s="16" t="s">
        <v>2158</v>
      </c>
      <c r="K676" s="5" t="s">
        <v>6</v>
      </c>
      <c r="L676" s="10" t="str">
        <f t="shared" ca="1" si="56"/>
        <v>Calibrado</v>
      </c>
    </row>
    <row r="677" spans="1:12" ht="15" hidden="1" customHeight="1">
      <c r="A677" s="21">
        <v>1635</v>
      </c>
      <c r="B677" s="5" t="s">
        <v>1506</v>
      </c>
      <c r="C677" s="13" t="s">
        <v>46</v>
      </c>
      <c r="D677" s="9" t="s">
        <v>2045</v>
      </c>
      <c r="E677" s="6">
        <v>46203</v>
      </c>
      <c r="F677" s="91">
        <f t="shared" si="58"/>
        <v>46568</v>
      </c>
      <c r="G677" s="78" t="s">
        <v>2062</v>
      </c>
      <c r="H677" s="78"/>
      <c r="I677" s="16" t="s">
        <v>909</v>
      </c>
      <c r="J677" s="16" t="s">
        <v>2046</v>
      </c>
      <c r="K677" s="5" t="s">
        <v>6</v>
      </c>
      <c r="L677" s="10" t="str">
        <f t="shared" ca="1" si="56"/>
        <v>Calibrado</v>
      </c>
    </row>
    <row r="678" spans="1:12" ht="15" hidden="1" customHeight="1">
      <c r="A678" s="21">
        <v>1636</v>
      </c>
      <c r="B678" s="5" t="s">
        <v>1506</v>
      </c>
      <c r="C678" s="13" t="s">
        <v>46</v>
      </c>
      <c r="D678" s="9" t="s">
        <v>1709</v>
      </c>
      <c r="E678" s="6">
        <v>45924</v>
      </c>
      <c r="F678" s="91">
        <f t="shared" si="58"/>
        <v>46295</v>
      </c>
      <c r="G678" s="78" t="s">
        <v>2062</v>
      </c>
      <c r="H678" s="78"/>
      <c r="I678" s="16" t="s">
        <v>1802</v>
      </c>
      <c r="J678" s="16"/>
      <c r="K678" s="5" t="s">
        <v>6</v>
      </c>
      <c r="L678" s="10" t="str">
        <f t="shared" ca="1" si="56"/>
        <v>Calibrado</v>
      </c>
    </row>
    <row r="679" spans="1:12" ht="15" hidden="1" customHeight="1">
      <c r="A679" s="21">
        <v>1637</v>
      </c>
      <c r="B679" s="5" t="s">
        <v>1506</v>
      </c>
      <c r="C679" s="13" t="s">
        <v>46</v>
      </c>
      <c r="D679" s="9" t="s">
        <v>1710</v>
      </c>
      <c r="E679" s="6">
        <v>46000</v>
      </c>
      <c r="F679" s="91">
        <f t="shared" si="58"/>
        <v>46387</v>
      </c>
      <c r="G679" s="78"/>
      <c r="H679" s="78"/>
      <c r="I679" s="16" t="s">
        <v>909</v>
      </c>
      <c r="J679" s="16"/>
      <c r="K679" s="5" t="s">
        <v>6</v>
      </c>
      <c r="L679" s="10" t="str">
        <f t="shared" ca="1" si="56"/>
        <v>Calibrado</v>
      </c>
    </row>
    <row r="680" spans="1:12" ht="15" hidden="1" customHeight="1">
      <c r="A680" s="21">
        <v>1638</v>
      </c>
      <c r="B680" s="5" t="s">
        <v>1506</v>
      </c>
      <c r="C680" s="13" t="s">
        <v>46</v>
      </c>
      <c r="D680" s="9" t="s">
        <v>1711</v>
      </c>
      <c r="E680" s="6">
        <v>45870</v>
      </c>
      <c r="F680" s="91">
        <f t="shared" si="58"/>
        <v>46265</v>
      </c>
      <c r="G680" s="78"/>
      <c r="H680" s="78"/>
      <c r="I680" s="16" t="s">
        <v>1802</v>
      </c>
      <c r="J680" s="16"/>
      <c r="K680" s="5" t="s">
        <v>6</v>
      </c>
      <c r="L680" s="10" t="str">
        <f t="shared" ca="1" si="56"/>
        <v>Calibrado</v>
      </c>
    </row>
    <row r="681" spans="1:12" ht="15" hidden="1" customHeight="1">
      <c r="A681" s="21">
        <v>1639</v>
      </c>
      <c r="B681" s="5" t="s">
        <v>1506</v>
      </c>
      <c r="C681" s="13" t="s">
        <v>46</v>
      </c>
      <c r="D681" s="9" t="s">
        <v>2123</v>
      </c>
      <c r="E681" s="6">
        <v>46232</v>
      </c>
      <c r="F681" s="91">
        <f t="shared" si="58"/>
        <v>46599</v>
      </c>
      <c r="G681" s="78" t="s">
        <v>2063</v>
      </c>
      <c r="H681" s="78" t="s">
        <v>2068</v>
      </c>
      <c r="I681" s="16" t="s">
        <v>1843</v>
      </c>
      <c r="J681" s="16" t="s">
        <v>2159</v>
      </c>
      <c r="K681" s="5" t="s">
        <v>6</v>
      </c>
      <c r="L681" s="10" t="str">
        <f t="shared" ca="1" si="56"/>
        <v>Calibrado</v>
      </c>
    </row>
    <row r="682" spans="1:12" ht="15" hidden="1" customHeight="1">
      <c r="A682" s="21">
        <v>1640</v>
      </c>
      <c r="B682" s="5" t="s">
        <v>1506</v>
      </c>
      <c r="C682" s="13" t="s">
        <v>46</v>
      </c>
      <c r="D682" s="9" t="s">
        <v>1739</v>
      </c>
      <c r="E682" s="6">
        <v>46172</v>
      </c>
      <c r="F682" s="91">
        <f t="shared" si="58"/>
        <v>46538</v>
      </c>
      <c r="G682" s="78"/>
      <c r="H682" s="78"/>
      <c r="I682" s="16" t="s">
        <v>909</v>
      </c>
      <c r="J682" s="16" t="s">
        <v>1983</v>
      </c>
      <c r="K682" s="5" t="s">
        <v>6</v>
      </c>
      <c r="L682" s="10" t="str">
        <f t="shared" ca="1" si="56"/>
        <v>Calibrado</v>
      </c>
    </row>
    <row r="683" spans="1:12" ht="15" hidden="1" customHeight="1">
      <c r="A683" s="21">
        <v>1641</v>
      </c>
      <c r="B683" s="5" t="s">
        <v>1506</v>
      </c>
      <c r="C683" s="13" t="s">
        <v>46</v>
      </c>
      <c r="D683" s="9" t="s">
        <v>1712</v>
      </c>
      <c r="E683" s="6">
        <v>45930</v>
      </c>
      <c r="F683" s="91">
        <f t="shared" si="58"/>
        <v>46295</v>
      </c>
      <c r="G683" s="78" t="s">
        <v>2062</v>
      </c>
      <c r="H683" s="78"/>
      <c r="I683" s="16" t="s">
        <v>1802</v>
      </c>
      <c r="J683" s="16"/>
      <c r="K683" s="5" t="s">
        <v>6</v>
      </c>
      <c r="L683" s="10" t="str">
        <f t="shared" ca="1" si="56"/>
        <v>Calibrado</v>
      </c>
    </row>
    <row r="684" spans="1:12" ht="15" hidden="1" customHeight="1">
      <c r="A684" s="21">
        <v>1642</v>
      </c>
      <c r="B684" s="5" t="s">
        <v>1506</v>
      </c>
      <c r="C684" s="13" t="s">
        <v>46</v>
      </c>
      <c r="D684" s="9" t="s">
        <v>1713</v>
      </c>
      <c r="E684" s="6">
        <v>45930</v>
      </c>
      <c r="F684" s="91">
        <f t="shared" si="58"/>
        <v>46295</v>
      </c>
      <c r="G684" s="78" t="s">
        <v>2062</v>
      </c>
      <c r="H684" s="78"/>
      <c r="I684" s="16" t="s">
        <v>1802</v>
      </c>
      <c r="J684" s="16"/>
      <c r="K684" s="5" t="s">
        <v>6</v>
      </c>
      <c r="L684" s="10" t="str">
        <f t="shared" ca="1" si="56"/>
        <v>Calibrado</v>
      </c>
    </row>
    <row r="685" spans="1:12" ht="15" hidden="1" customHeight="1">
      <c r="A685" s="21">
        <v>1643</v>
      </c>
      <c r="B685" s="5" t="s">
        <v>1506</v>
      </c>
      <c r="C685" s="13" t="s">
        <v>46</v>
      </c>
      <c r="D685" s="9" t="s">
        <v>1714</v>
      </c>
      <c r="E685" s="6">
        <v>46232</v>
      </c>
      <c r="F685" s="91">
        <f t="shared" si="58"/>
        <v>46599</v>
      </c>
      <c r="G685" s="78" t="s">
        <v>2062</v>
      </c>
      <c r="H685" s="78" t="s">
        <v>2068</v>
      </c>
      <c r="I685" s="16" t="s">
        <v>1843</v>
      </c>
      <c r="J685" s="16" t="s">
        <v>2160</v>
      </c>
      <c r="K685" s="5" t="s">
        <v>6</v>
      </c>
      <c r="L685" s="10" t="str">
        <f t="shared" ca="1" si="56"/>
        <v>Calibrado</v>
      </c>
    </row>
    <row r="686" spans="1:12" ht="15" hidden="1" customHeight="1">
      <c r="A686" s="21">
        <v>1644</v>
      </c>
      <c r="B686" s="5" t="s">
        <v>1506</v>
      </c>
      <c r="C686" s="13" t="s">
        <v>46</v>
      </c>
      <c r="D686" s="9" t="s">
        <v>1715</v>
      </c>
      <c r="E686" s="6">
        <v>46232</v>
      </c>
      <c r="F686" s="91">
        <f t="shared" si="58"/>
        <v>46599</v>
      </c>
      <c r="G686" s="78" t="s">
        <v>2062</v>
      </c>
      <c r="H686" s="78" t="s">
        <v>2068</v>
      </c>
      <c r="I686" s="16" t="s">
        <v>1843</v>
      </c>
      <c r="J686" s="16" t="s">
        <v>2161</v>
      </c>
      <c r="K686" s="5" t="s">
        <v>6</v>
      </c>
      <c r="L686" s="10" t="str">
        <f t="shared" ca="1" si="56"/>
        <v>Calibrado</v>
      </c>
    </row>
    <row r="687" spans="1:12" ht="15" hidden="1" customHeight="1">
      <c r="A687" s="21">
        <v>1645</v>
      </c>
      <c r="B687" s="5" t="s">
        <v>1506</v>
      </c>
      <c r="C687" s="13" t="s">
        <v>46</v>
      </c>
      <c r="D687" s="9" t="s">
        <v>1716</v>
      </c>
      <c r="E687" s="6">
        <v>46233</v>
      </c>
      <c r="F687" s="91">
        <f t="shared" si="58"/>
        <v>46599</v>
      </c>
      <c r="G687" s="78" t="s">
        <v>2062</v>
      </c>
      <c r="H687" s="78" t="s">
        <v>2068</v>
      </c>
      <c r="I687" s="16" t="s">
        <v>1802</v>
      </c>
      <c r="J687" s="16" t="s">
        <v>2162</v>
      </c>
      <c r="K687" s="5" t="s">
        <v>6</v>
      </c>
      <c r="L687" s="10" t="str">
        <f t="shared" ca="1" si="56"/>
        <v>Calibrado</v>
      </c>
    </row>
    <row r="688" spans="1:12" ht="15" hidden="1" customHeight="1">
      <c r="A688" s="21">
        <v>1646</v>
      </c>
      <c r="B688" s="5" t="s">
        <v>1506</v>
      </c>
      <c r="C688" s="13" t="s">
        <v>46</v>
      </c>
      <c r="D688" s="9" t="s">
        <v>1717</v>
      </c>
      <c r="E688" s="6">
        <v>46233</v>
      </c>
      <c r="F688" s="91">
        <f t="shared" si="58"/>
        <v>46599</v>
      </c>
      <c r="G688" s="78" t="s">
        <v>2062</v>
      </c>
      <c r="H688" s="78" t="s">
        <v>2068</v>
      </c>
      <c r="I688" s="16" t="s">
        <v>1802</v>
      </c>
      <c r="J688" s="16" t="s">
        <v>2163</v>
      </c>
      <c r="K688" s="5" t="s">
        <v>6</v>
      </c>
      <c r="L688" s="10" t="str">
        <f t="shared" ca="1" si="56"/>
        <v>Calibrado</v>
      </c>
    </row>
    <row r="689" spans="1:12" ht="15" hidden="1" customHeight="1">
      <c r="A689" s="21">
        <v>1647</v>
      </c>
      <c r="B689" s="5" t="s">
        <v>1506</v>
      </c>
      <c r="C689" s="13" t="s">
        <v>46</v>
      </c>
      <c r="D689" s="9" t="s">
        <v>1984</v>
      </c>
      <c r="E689" s="6">
        <v>46172</v>
      </c>
      <c r="F689" s="91">
        <f t="shared" si="58"/>
        <v>46538</v>
      </c>
      <c r="G689" s="78"/>
      <c r="H689" s="78"/>
      <c r="I689" s="16" t="s">
        <v>66</v>
      </c>
      <c r="J689" s="16" t="s">
        <v>1985</v>
      </c>
      <c r="K689" s="5" t="s">
        <v>6</v>
      </c>
      <c r="L689" s="10" t="str">
        <f t="shared" ca="1" si="56"/>
        <v>Calibrado</v>
      </c>
    </row>
    <row r="690" spans="1:12" ht="15" hidden="1" customHeight="1">
      <c r="A690" s="21">
        <v>1648</v>
      </c>
      <c r="B690" s="5" t="s">
        <v>1506</v>
      </c>
      <c r="C690" s="13" t="s">
        <v>46</v>
      </c>
      <c r="D690" s="9" t="s">
        <v>2047</v>
      </c>
      <c r="E690" s="6">
        <v>46203</v>
      </c>
      <c r="F690" s="91">
        <f t="shared" si="58"/>
        <v>46568</v>
      </c>
      <c r="G690" s="78" t="s">
        <v>2062</v>
      </c>
      <c r="H690" s="78"/>
      <c r="I690" s="16" t="s">
        <v>909</v>
      </c>
      <c r="J690" s="16" t="s">
        <v>2048</v>
      </c>
      <c r="K690" s="5" t="s">
        <v>6</v>
      </c>
      <c r="L690" s="10" t="str">
        <f t="shared" ca="1" si="56"/>
        <v>Calibrado</v>
      </c>
    </row>
    <row r="691" spans="1:12" ht="15" hidden="1" customHeight="1">
      <c r="A691" s="21">
        <v>1649</v>
      </c>
      <c r="B691" s="5" t="s">
        <v>1506</v>
      </c>
      <c r="C691" s="13" t="s">
        <v>46</v>
      </c>
      <c r="D691" s="9" t="s">
        <v>1718</v>
      </c>
      <c r="E691" s="6">
        <v>45881</v>
      </c>
      <c r="F691" s="91">
        <f t="shared" si="58"/>
        <v>46265</v>
      </c>
      <c r="G691" s="78"/>
      <c r="H691" s="78"/>
      <c r="I691" s="16" t="s">
        <v>909</v>
      </c>
      <c r="J691" s="16"/>
      <c r="K691" s="5" t="s">
        <v>6</v>
      </c>
      <c r="L691" s="10" t="str">
        <f t="shared" ca="1" si="56"/>
        <v>Calibrado</v>
      </c>
    </row>
    <row r="692" spans="1:12" ht="15" hidden="1" customHeight="1">
      <c r="A692" s="21">
        <v>1650</v>
      </c>
      <c r="B692" s="5" t="s">
        <v>1506</v>
      </c>
      <c r="C692" s="13" t="s">
        <v>46</v>
      </c>
      <c r="D692" s="9" t="s">
        <v>1719</v>
      </c>
      <c r="E692" s="6">
        <v>46001</v>
      </c>
      <c r="F692" s="91">
        <f t="shared" si="58"/>
        <v>46387</v>
      </c>
      <c r="G692" s="78"/>
      <c r="H692" s="78"/>
      <c r="I692" s="16" t="s">
        <v>61</v>
      </c>
      <c r="J692" s="16"/>
      <c r="K692" s="5" t="s">
        <v>6</v>
      </c>
      <c r="L692" s="10" t="str">
        <f t="shared" ca="1" si="56"/>
        <v>Calibrado</v>
      </c>
    </row>
    <row r="693" spans="1:12" ht="15" hidden="1" customHeight="1">
      <c r="A693" s="21">
        <v>1651</v>
      </c>
      <c r="B693" s="5" t="s">
        <v>1506</v>
      </c>
      <c r="C693" s="13" t="s">
        <v>46</v>
      </c>
      <c r="D693" s="9" t="s">
        <v>1720</v>
      </c>
      <c r="E693" s="6">
        <v>46001</v>
      </c>
      <c r="F693" s="91">
        <f t="shared" si="58"/>
        <v>46387</v>
      </c>
      <c r="G693" s="78"/>
      <c r="H693" s="78"/>
      <c r="I693" s="16" t="s">
        <v>61</v>
      </c>
      <c r="J693" s="16"/>
      <c r="K693" s="5" t="s">
        <v>6</v>
      </c>
      <c r="L693" s="10" t="str">
        <f t="shared" ca="1" si="56"/>
        <v>Calibrado</v>
      </c>
    </row>
    <row r="694" spans="1:12" ht="15" hidden="1" customHeight="1">
      <c r="A694" s="21">
        <v>1652</v>
      </c>
      <c r="B694" s="5" t="s">
        <v>1506</v>
      </c>
      <c r="C694" s="13" t="s">
        <v>46</v>
      </c>
      <c r="D694" s="9" t="s">
        <v>1721</v>
      </c>
      <c r="E694" s="6">
        <v>46142</v>
      </c>
      <c r="F694" s="91">
        <f t="shared" si="58"/>
        <v>46507</v>
      </c>
      <c r="G694" s="78" t="s">
        <v>2062</v>
      </c>
      <c r="H694" s="78"/>
      <c r="I694" s="16" t="s">
        <v>66</v>
      </c>
      <c r="J694" s="16" t="s">
        <v>66</v>
      </c>
      <c r="K694" s="5" t="s">
        <v>6</v>
      </c>
      <c r="L694" s="10" t="str">
        <f t="shared" ca="1" si="56"/>
        <v>Calibrado</v>
      </c>
    </row>
    <row r="695" spans="1:12" ht="15" hidden="1" customHeight="1">
      <c r="A695" s="21">
        <v>1653</v>
      </c>
      <c r="B695" s="5" t="s">
        <v>1506</v>
      </c>
      <c r="C695" s="13" t="s">
        <v>46</v>
      </c>
      <c r="D695" s="9" t="s">
        <v>1740</v>
      </c>
      <c r="E695" s="6">
        <v>46055</v>
      </c>
      <c r="F695" s="91">
        <f t="shared" si="58"/>
        <v>46446</v>
      </c>
      <c r="G695" s="78" t="s">
        <v>2062</v>
      </c>
      <c r="H695" s="78" t="s">
        <v>2068</v>
      </c>
      <c r="I695" s="5" t="s">
        <v>64</v>
      </c>
      <c r="J695" s="16" t="s">
        <v>61</v>
      </c>
      <c r="K695" s="5" t="s">
        <v>6</v>
      </c>
      <c r="L695" s="10" t="str">
        <f t="shared" ca="1" si="56"/>
        <v>Calibrado</v>
      </c>
    </row>
    <row r="696" spans="1:12" ht="15" hidden="1" customHeight="1">
      <c r="A696" s="21">
        <v>1654</v>
      </c>
      <c r="B696" s="5" t="s">
        <v>1506</v>
      </c>
      <c r="C696" s="13" t="s">
        <v>46</v>
      </c>
      <c r="D696" s="9" t="s">
        <v>1741</v>
      </c>
      <c r="E696" s="6">
        <v>45896</v>
      </c>
      <c r="F696" s="91">
        <f t="shared" si="58"/>
        <v>46265</v>
      </c>
      <c r="G696" s="78"/>
      <c r="H696" s="78"/>
      <c r="I696" s="16" t="s">
        <v>1802</v>
      </c>
      <c r="J696" s="16"/>
      <c r="K696" s="5" t="s">
        <v>6</v>
      </c>
      <c r="L696" s="10" t="str">
        <f t="shared" ca="1" si="56"/>
        <v>Calibrado</v>
      </c>
    </row>
    <row r="697" spans="1:12" ht="15" hidden="1" customHeight="1">
      <c r="A697" s="21">
        <v>1655</v>
      </c>
      <c r="B697" s="5" t="s">
        <v>1506</v>
      </c>
      <c r="C697" s="13" t="s">
        <v>46</v>
      </c>
      <c r="D697" s="9" t="s">
        <v>1742</v>
      </c>
      <c r="E697" s="6">
        <v>46203</v>
      </c>
      <c r="F697" s="91">
        <f t="shared" ref="F697" si="59">EOMONTH(E697,12)</f>
        <v>46568</v>
      </c>
      <c r="G697" s="78" t="s">
        <v>2063</v>
      </c>
      <c r="H697" s="78"/>
      <c r="I697" s="5" t="s">
        <v>64</v>
      </c>
      <c r="J697" s="16" t="s">
        <v>2049</v>
      </c>
      <c r="K697" s="5" t="s">
        <v>6</v>
      </c>
      <c r="L697" s="10" t="str">
        <f t="shared" ca="1" si="56"/>
        <v>Calibrado</v>
      </c>
    </row>
    <row r="698" spans="1:12" ht="15" hidden="1" customHeight="1">
      <c r="A698" s="21">
        <v>1656</v>
      </c>
      <c r="B698" s="5" t="s">
        <v>1506</v>
      </c>
      <c r="C698" s="13" t="s">
        <v>46</v>
      </c>
      <c r="D698" s="9" t="s">
        <v>1743</v>
      </c>
      <c r="E698" s="6">
        <v>46036</v>
      </c>
      <c r="F698" s="91">
        <f>EOMONTH(E698,12)</f>
        <v>46418</v>
      </c>
      <c r="G698" s="78"/>
      <c r="H698" s="78" t="s">
        <v>2068</v>
      </c>
      <c r="I698" s="5" t="s">
        <v>64</v>
      </c>
      <c r="J698" s="16" t="s">
        <v>1802</v>
      </c>
      <c r="K698" s="5" t="s">
        <v>6</v>
      </c>
      <c r="L698" s="10" t="str">
        <f t="shared" ca="1" si="56"/>
        <v>Calibrado</v>
      </c>
    </row>
    <row r="699" spans="1:12" ht="15" hidden="1" customHeight="1">
      <c r="A699" s="21">
        <v>1657</v>
      </c>
      <c r="B699" s="5" t="s">
        <v>1506</v>
      </c>
      <c r="C699" s="13" t="s">
        <v>46</v>
      </c>
      <c r="D699" s="9" t="s">
        <v>1722</v>
      </c>
      <c r="E699" s="6">
        <v>46132</v>
      </c>
      <c r="F699" s="91">
        <f>EOMONTH(E699,12)</f>
        <v>46507</v>
      </c>
      <c r="G699" s="78" t="s">
        <v>2062</v>
      </c>
      <c r="H699" s="78"/>
      <c r="I699" s="16" t="s">
        <v>66</v>
      </c>
      <c r="J699" s="16" t="s">
        <v>66</v>
      </c>
      <c r="K699" s="5" t="s">
        <v>6</v>
      </c>
      <c r="L699" s="10" t="str">
        <f t="shared" ca="1" si="56"/>
        <v>Calibrado</v>
      </c>
    </row>
    <row r="700" spans="1:12" ht="15" hidden="1" customHeight="1">
      <c r="A700" s="21">
        <v>1658</v>
      </c>
      <c r="B700" s="5" t="s">
        <v>1506</v>
      </c>
      <c r="C700" s="13" t="s">
        <v>46</v>
      </c>
      <c r="D700" s="9" t="s">
        <v>1744</v>
      </c>
      <c r="E700" s="6">
        <v>46234</v>
      </c>
      <c r="F700" s="91">
        <f>EOMONTH(E700,12)</f>
        <v>46599</v>
      </c>
      <c r="G700" s="78" t="s">
        <v>2062</v>
      </c>
      <c r="H700" s="78" t="s">
        <v>2068</v>
      </c>
      <c r="I700" s="16" t="s">
        <v>909</v>
      </c>
      <c r="J700" s="16" t="s">
        <v>2164</v>
      </c>
      <c r="K700" s="5" t="s">
        <v>6</v>
      </c>
      <c r="L700" s="10" t="str">
        <f t="shared" ca="1" si="56"/>
        <v>Calibrado</v>
      </c>
    </row>
    <row r="701" spans="1:12" ht="15" hidden="1" customHeight="1">
      <c r="A701" s="21">
        <v>1659</v>
      </c>
      <c r="B701" s="5" t="s">
        <v>1506</v>
      </c>
      <c r="C701" s="13" t="s">
        <v>46</v>
      </c>
      <c r="D701" s="9" t="s">
        <v>1745</v>
      </c>
      <c r="E701" s="6">
        <v>46234</v>
      </c>
      <c r="F701" s="91">
        <f>EOMONTH(E701,12)</f>
        <v>46599</v>
      </c>
      <c r="G701" s="78" t="s">
        <v>2062</v>
      </c>
      <c r="H701" s="78" t="s">
        <v>2068</v>
      </c>
      <c r="I701" s="16" t="s">
        <v>909</v>
      </c>
      <c r="J701" s="16" t="s">
        <v>2165</v>
      </c>
      <c r="K701" s="5" t="s">
        <v>6</v>
      </c>
      <c r="L701" s="10" t="str">
        <f t="shared" ca="1" si="56"/>
        <v>Calibrado</v>
      </c>
    </row>
    <row r="702" spans="1:12" ht="15" hidden="1" customHeight="1">
      <c r="A702" s="21">
        <v>1660</v>
      </c>
      <c r="B702" s="5" t="s">
        <v>1506</v>
      </c>
      <c r="C702" s="13" t="s">
        <v>46</v>
      </c>
      <c r="D702" s="9" t="s">
        <v>1746</v>
      </c>
      <c r="E702" s="6">
        <v>46203</v>
      </c>
      <c r="F702" s="91">
        <f t="shared" ref="F702" si="60">EOMONTH(E702,12)</f>
        <v>46568</v>
      </c>
      <c r="G702" s="78" t="s">
        <v>2062</v>
      </c>
      <c r="H702" s="78"/>
      <c r="I702" s="5" t="s">
        <v>64</v>
      </c>
      <c r="J702" s="16" t="s">
        <v>2050</v>
      </c>
      <c r="K702" s="5" t="s">
        <v>6</v>
      </c>
      <c r="L702" s="10" t="str">
        <f t="shared" ca="1" si="56"/>
        <v>Calibrado</v>
      </c>
    </row>
    <row r="703" spans="1:12" ht="15" hidden="1" customHeight="1">
      <c r="A703" s="21">
        <v>1661</v>
      </c>
      <c r="B703" s="5" t="s">
        <v>1503</v>
      </c>
      <c r="C703" s="13" t="s">
        <v>46</v>
      </c>
      <c r="D703" s="9" t="s">
        <v>1699</v>
      </c>
      <c r="E703" s="6">
        <v>45874</v>
      </c>
      <c r="F703" s="91">
        <f>EOMONTH(E703,12)</f>
        <v>46265</v>
      </c>
      <c r="G703" s="78"/>
      <c r="H703" s="78"/>
      <c r="I703" s="16" t="s">
        <v>1802</v>
      </c>
      <c r="J703" s="16"/>
      <c r="K703" s="5" t="s">
        <v>6</v>
      </c>
      <c r="L703" s="10" t="str">
        <f t="shared" ca="1" si="56"/>
        <v>Calibrado</v>
      </c>
    </row>
    <row r="704" spans="1:12" ht="15" hidden="1" customHeight="1">
      <c r="A704" s="21">
        <v>1662</v>
      </c>
      <c r="B704" s="5" t="s">
        <v>1506</v>
      </c>
      <c r="C704" s="25" t="s">
        <v>56</v>
      </c>
      <c r="D704" s="9" t="s">
        <v>1801</v>
      </c>
      <c r="E704" s="6">
        <v>45901</v>
      </c>
      <c r="F704" s="91">
        <f>EOMONTH(E704,12)</f>
        <v>46295</v>
      </c>
      <c r="G704" s="78"/>
      <c r="H704" s="78"/>
      <c r="I704" s="16" t="s">
        <v>1845</v>
      </c>
      <c r="J704" s="16"/>
      <c r="K704" s="5" t="s">
        <v>6</v>
      </c>
      <c r="L704" s="10" t="str">
        <f t="shared" ca="1" si="56"/>
        <v>Calibrado</v>
      </c>
    </row>
    <row r="705" spans="1:12" ht="15" hidden="1" customHeight="1">
      <c r="A705" s="92">
        <v>1663</v>
      </c>
      <c r="B705" s="5" t="s">
        <v>1506</v>
      </c>
      <c r="C705" s="5" t="s">
        <v>65</v>
      </c>
      <c r="D705" s="36" t="s">
        <v>1953</v>
      </c>
      <c r="E705" s="53"/>
      <c r="F705" s="53"/>
      <c r="G705" s="83"/>
      <c r="H705" s="83"/>
      <c r="I705" s="54"/>
      <c r="J705" s="54"/>
      <c r="K705" s="5" t="s">
        <v>910</v>
      </c>
      <c r="L705" s="10" t="str">
        <f t="shared" si="56"/>
        <v>Desenvolvimento</v>
      </c>
    </row>
    <row r="706" spans="1:12" ht="15" hidden="1" customHeight="1">
      <c r="A706" s="92">
        <v>1664</v>
      </c>
      <c r="B706" s="5" t="s">
        <v>1506</v>
      </c>
      <c r="C706" s="5" t="s">
        <v>65</v>
      </c>
      <c r="D706" s="36">
        <v>52264207</v>
      </c>
      <c r="E706" s="53"/>
      <c r="F706" s="53"/>
      <c r="G706" s="83"/>
      <c r="H706" s="83"/>
      <c r="I706" s="54"/>
      <c r="J706" s="54"/>
      <c r="K706" s="5" t="s">
        <v>910</v>
      </c>
      <c r="L706" s="10" t="str">
        <f t="shared" si="56"/>
        <v>Desenvolvimento</v>
      </c>
    </row>
    <row r="707" spans="1:12" ht="15" hidden="1" customHeight="1">
      <c r="A707" s="92">
        <v>1665</v>
      </c>
      <c r="B707" s="5" t="s">
        <v>1506</v>
      </c>
      <c r="C707" s="5" t="s">
        <v>65</v>
      </c>
      <c r="D707" s="36">
        <v>9869231880</v>
      </c>
      <c r="E707" s="53"/>
      <c r="F707" s="53"/>
      <c r="G707" s="83"/>
      <c r="H707" s="83"/>
      <c r="I707" s="54"/>
      <c r="J707" s="54"/>
      <c r="K707" s="5" t="s">
        <v>910</v>
      </c>
      <c r="L707" s="10" t="str">
        <f t="shared" ref="L707:L722" si="61">IF(K707="TERCEIRO","TERCEIRO",IF(K707="EM MODIF.","EM MODIF.",IF(K707="INATIVO","INATIVO",IF($E707="","Desenvolvimento",IF($F707&lt;$M$1,"Atrasado","Calibrado")))))</f>
        <v>Desenvolvimento</v>
      </c>
    </row>
    <row r="708" spans="1:12" ht="15" hidden="1" customHeight="1">
      <c r="A708" s="92">
        <v>1666</v>
      </c>
      <c r="B708" s="5" t="s">
        <v>1506</v>
      </c>
      <c r="C708" s="5" t="s">
        <v>65</v>
      </c>
      <c r="D708" s="36">
        <v>9874072980</v>
      </c>
      <c r="E708" s="53"/>
      <c r="F708" s="53"/>
      <c r="G708" s="83"/>
      <c r="H708" s="83"/>
      <c r="I708" s="54"/>
      <c r="J708" s="54"/>
      <c r="K708" s="5" t="s">
        <v>910</v>
      </c>
      <c r="L708" s="10" t="str">
        <f t="shared" si="61"/>
        <v>Desenvolvimento</v>
      </c>
    </row>
    <row r="709" spans="1:12" ht="15" hidden="1" customHeight="1">
      <c r="A709" s="21">
        <v>1667</v>
      </c>
      <c r="B709" s="5" t="s">
        <v>1506</v>
      </c>
      <c r="C709" s="5" t="s">
        <v>65</v>
      </c>
      <c r="D709" s="9">
        <v>9870679980</v>
      </c>
      <c r="E709" s="6">
        <v>46090</v>
      </c>
      <c r="F709" s="91">
        <f t="shared" ref="F709:F716" si="62">EOMONTH(E709,12)</f>
        <v>46477</v>
      </c>
      <c r="G709" s="78"/>
      <c r="H709" s="78"/>
      <c r="I709" s="5" t="s">
        <v>64</v>
      </c>
      <c r="J709" s="16" t="s">
        <v>1802</v>
      </c>
      <c r="K709" s="5" t="s">
        <v>6</v>
      </c>
      <c r="L709" s="10" t="str">
        <f t="shared" ca="1" si="61"/>
        <v>Calibrado</v>
      </c>
    </row>
    <row r="710" spans="1:12" ht="15" hidden="1" customHeight="1">
      <c r="A710" s="21">
        <v>1668</v>
      </c>
      <c r="B710" s="5" t="s">
        <v>1506</v>
      </c>
      <c r="C710" s="5" t="s">
        <v>65</v>
      </c>
      <c r="D710" s="9" t="s">
        <v>1954</v>
      </c>
      <c r="E710" s="6">
        <v>46107</v>
      </c>
      <c r="F710" s="91">
        <f t="shared" si="62"/>
        <v>46477</v>
      </c>
      <c r="G710" s="78"/>
      <c r="H710" s="78"/>
      <c r="I710" s="5" t="s">
        <v>64</v>
      </c>
      <c r="J710" s="16" t="s">
        <v>909</v>
      </c>
      <c r="K710" s="5" t="s">
        <v>6</v>
      </c>
      <c r="L710" s="10" t="str">
        <f t="shared" ca="1" si="61"/>
        <v>Calibrado</v>
      </c>
    </row>
    <row r="711" spans="1:12" ht="15" hidden="1" customHeight="1">
      <c r="A711" s="21">
        <v>1669</v>
      </c>
      <c r="B711" s="5" t="s">
        <v>1506</v>
      </c>
      <c r="C711" s="5" t="s">
        <v>65</v>
      </c>
      <c r="D711" s="9" t="s">
        <v>1955</v>
      </c>
      <c r="E711" s="6">
        <v>46108</v>
      </c>
      <c r="F711" s="91">
        <f t="shared" si="62"/>
        <v>46477</v>
      </c>
      <c r="G711" s="78"/>
      <c r="H711" s="78"/>
      <c r="I711" s="5" t="s">
        <v>64</v>
      </c>
      <c r="J711" s="16" t="s">
        <v>909</v>
      </c>
      <c r="K711" s="5" t="s">
        <v>6</v>
      </c>
      <c r="L711" s="10" t="str">
        <f t="shared" ca="1" si="61"/>
        <v>Calibrado</v>
      </c>
    </row>
    <row r="712" spans="1:12" ht="15" hidden="1" customHeight="1">
      <c r="A712" s="21">
        <v>1670</v>
      </c>
      <c r="B712" s="5" t="s">
        <v>1506</v>
      </c>
      <c r="C712" s="5" t="s">
        <v>65</v>
      </c>
      <c r="D712" s="9" t="s">
        <v>1956</v>
      </c>
      <c r="E712" s="6">
        <v>46108</v>
      </c>
      <c r="F712" s="91">
        <f t="shared" si="62"/>
        <v>46477</v>
      </c>
      <c r="G712" s="78"/>
      <c r="H712" s="78"/>
      <c r="I712" s="5" t="s">
        <v>64</v>
      </c>
      <c r="J712" s="16" t="s">
        <v>909</v>
      </c>
      <c r="K712" s="5" t="s">
        <v>6</v>
      </c>
      <c r="L712" s="10" t="str">
        <f t="shared" ca="1" si="61"/>
        <v>Calibrado</v>
      </c>
    </row>
    <row r="713" spans="1:12" ht="15" hidden="1" customHeight="1">
      <c r="A713" s="21">
        <v>1671</v>
      </c>
      <c r="B713" s="5" t="s">
        <v>1506</v>
      </c>
      <c r="C713" s="5" t="s">
        <v>65</v>
      </c>
      <c r="D713" s="9">
        <v>9869232380</v>
      </c>
      <c r="E713" s="6">
        <v>46097</v>
      </c>
      <c r="F713" s="91">
        <f t="shared" si="62"/>
        <v>46477</v>
      </c>
      <c r="G713" s="78"/>
      <c r="H713" s="78"/>
      <c r="I713" s="5" t="s">
        <v>64</v>
      </c>
      <c r="J713" s="16" t="s">
        <v>909</v>
      </c>
      <c r="K713" s="5" t="s">
        <v>6</v>
      </c>
      <c r="L713" s="10" t="str">
        <f t="shared" ca="1" si="61"/>
        <v>Calibrado</v>
      </c>
    </row>
    <row r="714" spans="1:12" ht="15" hidden="1" customHeight="1">
      <c r="A714" s="21">
        <v>1672</v>
      </c>
      <c r="B714" s="5" t="s">
        <v>1506</v>
      </c>
      <c r="C714" s="5" t="s">
        <v>65</v>
      </c>
      <c r="D714" s="9">
        <v>522640130</v>
      </c>
      <c r="E714" s="6">
        <v>46106</v>
      </c>
      <c r="F714" s="91">
        <f t="shared" si="62"/>
        <v>46477</v>
      </c>
      <c r="G714" s="78"/>
      <c r="H714" s="78"/>
      <c r="I714" s="5" t="s">
        <v>64</v>
      </c>
      <c r="J714" s="16" t="s">
        <v>909</v>
      </c>
      <c r="K714" s="5" t="s">
        <v>6</v>
      </c>
      <c r="L714" s="10" t="str">
        <f t="shared" ca="1" si="61"/>
        <v>Calibrado</v>
      </c>
    </row>
    <row r="715" spans="1:12" ht="15" hidden="1" customHeight="1">
      <c r="A715" s="21">
        <v>1673</v>
      </c>
      <c r="B715" s="5" t="s">
        <v>1506</v>
      </c>
      <c r="C715" s="5" t="s">
        <v>65</v>
      </c>
      <c r="D715" s="9">
        <v>52259261</v>
      </c>
      <c r="E715" s="6">
        <v>45909</v>
      </c>
      <c r="F715" s="91">
        <f t="shared" si="62"/>
        <v>46295</v>
      </c>
      <c r="G715" s="78"/>
      <c r="H715" s="78"/>
      <c r="I715" s="16" t="s">
        <v>909</v>
      </c>
      <c r="J715" s="16"/>
      <c r="K715" s="5" t="s">
        <v>6</v>
      </c>
      <c r="L715" s="10" t="str">
        <f t="shared" ca="1" si="61"/>
        <v>Calibrado</v>
      </c>
    </row>
    <row r="716" spans="1:12" ht="15" hidden="1" customHeight="1">
      <c r="A716" s="21">
        <v>1674</v>
      </c>
      <c r="B716" s="5" t="s">
        <v>1506</v>
      </c>
      <c r="C716" s="5" t="s">
        <v>65</v>
      </c>
      <c r="D716" s="9">
        <v>52261947</v>
      </c>
      <c r="E716" s="6">
        <v>46107</v>
      </c>
      <c r="F716" s="91">
        <f t="shared" si="62"/>
        <v>46477</v>
      </c>
      <c r="G716" s="78"/>
      <c r="H716" s="78"/>
      <c r="I716" s="5" t="s">
        <v>64</v>
      </c>
      <c r="J716" s="16" t="s">
        <v>909</v>
      </c>
      <c r="K716" s="5" t="s">
        <v>6</v>
      </c>
      <c r="L716" s="10" t="str">
        <f t="shared" ca="1" si="61"/>
        <v>Calibrado</v>
      </c>
    </row>
    <row r="717" spans="1:12" ht="15" hidden="1" customHeight="1">
      <c r="A717" s="92">
        <v>1675</v>
      </c>
      <c r="B717" s="5" t="s">
        <v>1506</v>
      </c>
      <c r="C717" s="5" t="s">
        <v>65</v>
      </c>
      <c r="D717" s="36">
        <v>52265834</v>
      </c>
      <c r="E717" s="53"/>
      <c r="F717" s="53"/>
      <c r="G717" s="83"/>
      <c r="H717" s="83"/>
      <c r="I717" s="54"/>
      <c r="J717" s="54"/>
      <c r="K717" s="5" t="s">
        <v>910</v>
      </c>
      <c r="L717" s="10" t="str">
        <f t="shared" si="61"/>
        <v>Desenvolvimento</v>
      </c>
    </row>
    <row r="718" spans="1:12" ht="15" hidden="1" customHeight="1">
      <c r="A718" s="92">
        <v>1676</v>
      </c>
      <c r="B718" s="5" t="s">
        <v>1506</v>
      </c>
      <c r="C718" s="5" t="s">
        <v>65</v>
      </c>
      <c r="D718" s="36" t="s">
        <v>1957</v>
      </c>
      <c r="E718" s="53"/>
      <c r="F718" s="53"/>
      <c r="G718" s="83"/>
      <c r="H718" s="83"/>
      <c r="I718" s="54"/>
      <c r="J718" s="54"/>
      <c r="K718" s="5" t="s">
        <v>910</v>
      </c>
      <c r="L718" s="10" t="str">
        <f t="shared" si="61"/>
        <v>Desenvolvimento</v>
      </c>
    </row>
    <row r="719" spans="1:12" ht="15" hidden="1" customHeight="1">
      <c r="A719" s="92">
        <v>1677</v>
      </c>
      <c r="B719" s="5" t="s">
        <v>1506</v>
      </c>
      <c r="C719" s="5" t="s">
        <v>65</v>
      </c>
      <c r="D719" s="36">
        <v>9871356880</v>
      </c>
      <c r="E719" s="53"/>
      <c r="F719" s="53"/>
      <c r="G719" s="83"/>
      <c r="H719" s="83"/>
      <c r="I719" s="54"/>
      <c r="J719" s="54"/>
      <c r="K719" s="5" t="s">
        <v>910</v>
      </c>
      <c r="L719" s="10" t="str">
        <f t="shared" si="61"/>
        <v>Desenvolvimento</v>
      </c>
    </row>
    <row r="720" spans="1:12" ht="15" hidden="1" customHeight="1">
      <c r="A720" s="92">
        <v>1678</v>
      </c>
      <c r="B720" s="5" t="s">
        <v>1506</v>
      </c>
      <c r="C720" s="5" t="s">
        <v>65</v>
      </c>
      <c r="D720" s="36" t="s">
        <v>1958</v>
      </c>
      <c r="E720" s="53"/>
      <c r="F720" s="53"/>
      <c r="G720" s="83"/>
      <c r="H720" s="83"/>
      <c r="I720" s="54"/>
      <c r="J720" s="54"/>
      <c r="K720" s="5" t="s">
        <v>910</v>
      </c>
      <c r="L720" s="10" t="str">
        <f t="shared" si="61"/>
        <v>Desenvolvimento</v>
      </c>
    </row>
    <row r="721" spans="1:12" ht="15" hidden="1" customHeight="1">
      <c r="A721" s="92">
        <v>1679</v>
      </c>
      <c r="B721" s="5" t="s">
        <v>1506</v>
      </c>
      <c r="C721" s="5" t="s">
        <v>65</v>
      </c>
      <c r="D721" s="36" t="s">
        <v>1959</v>
      </c>
      <c r="E721" s="53"/>
      <c r="F721" s="53"/>
      <c r="G721" s="83"/>
      <c r="H721" s="83"/>
      <c r="I721" s="54"/>
      <c r="J721" s="54"/>
      <c r="K721" s="5" t="s">
        <v>910</v>
      </c>
      <c r="L721" s="10" t="str">
        <f t="shared" si="61"/>
        <v>Desenvolvimento</v>
      </c>
    </row>
    <row r="722" spans="1:12" ht="15" hidden="1" customHeight="1">
      <c r="A722" s="92">
        <v>1680</v>
      </c>
      <c r="B722" s="5" t="s">
        <v>1506</v>
      </c>
      <c r="C722" s="5" t="s">
        <v>65</v>
      </c>
      <c r="D722" s="36" t="s">
        <v>1960</v>
      </c>
      <c r="E722" s="53"/>
      <c r="F722" s="53"/>
      <c r="G722" s="83"/>
      <c r="H722" s="83"/>
      <c r="I722" s="54"/>
      <c r="J722" s="54"/>
      <c r="K722" s="5" t="s">
        <v>910</v>
      </c>
      <c r="L722" s="10" t="str">
        <f t="shared" si="61"/>
        <v>Desenvolvimento</v>
      </c>
    </row>
    <row r="723" spans="1:12" ht="15" hidden="1" customHeight="1">
      <c r="A723" s="21">
        <v>1681</v>
      </c>
      <c r="B723" s="5" t="s">
        <v>1506</v>
      </c>
      <c r="C723" s="5" t="s">
        <v>65</v>
      </c>
      <c r="D723" s="36">
        <v>9829146980</v>
      </c>
      <c r="E723" s="53"/>
      <c r="F723" s="53"/>
      <c r="G723" s="83"/>
      <c r="H723" s="83"/>
      <c r="I723" s="54"/>
      <c r="J723" s="54"/>
      <c r="K723" s="5" t="s">
        <v>910</v>
      </c>
      <c r="L723" s="10" t="str">
        <f t="shared" ref="L723:L752" si="63">IF(K723="TERCEIRO","TERCEIRO",IF(K723="EM MODIF.","EM MODIF.",IF(K723="INATIVO","INATIVO",IF($E723="","Desenvolvimento",IF($F723&lt;$M$1,"Atrasado","Calibrado")))))</f>
        <v>Desenvolvimento</v>
      </c>
    </row>
    <row r="724" spans="1:12" ht="15" hidden="1" customHeight="1">
      <c r="A724" s="21">
        <v>1682</v>
      </c>
      <c r="B724" s="5" t="s">
        <v>1506</v>
      </c>
      <c r="C724" s="5" t="s">
        <v>65</v>
      </c>
      <c r="D724" s="36" t="s">
        <v>2127</v>
      </c>
      <c r="E724" s="53"/>
      <c r="F724" s="53"/>
      <c r="G724" s="83"/>
      <c r="H724" s="83"/>
      <c r="I724" s="54"/>
      <c r="J724" s="54"/>
      <c r="K724" s="5" t="s">
        <v>910</v>
      </c>
      <c r="L724" s="10" t="str">
        <f t="shared" si="63"/>
        <v>Desenvolvimento</v>
      </c>
    </row>
    <row r="725" spans="1:12" ht="15" hidden="1" customHeight="1">
      <c r="A725" s="21">
        <v>1683</v>
      </c>
      <c r="B725" s="5" t="s">
        <v>1506</v>
      </c>
      <c r="C725" s="5" t="s">
        <v>65</v>
      </c>
      <c r="D725" s="36" t="s">
        <v>2128</v>
      </c>
      <c r="E725" s="53"/>
      <c r="F725" s="53"/>
      <c r="G725" s="83"/>
      <c r="H725" s="83"/>
      <c r="I725" s="54"/>
      <c r="J725" s="54"/>
      <c r="K725" s="5" t="s">
        <v>910</v>
      </c>
      <c r="L725" s="10" t="str">
        <f t="shared" si="63"/>
        <v>Desenvolvimento</v>
      </c>
    </row>
    <row r="726" spans="1:12" ht="15" hidden="1" customHeight="1">
      <c r="A726" s="21">
        <v>1684</v>
      </c>
      <c r="B726" s="5" t="s">
        <v>1506</v>
      </c>
      <c r="C726" s="5" t="s">
        <v>65</v>
      </c>
      <c r="D726" s="36">
        <v>9857679880</v>
      </c>
      <c r="E726" s="53"/>
      <c r="F726" s="53"/>
      <c r="G726" s="83"/>
      <c r="H726" s="83"/>
      <c r="I726" s="54"/>
      <c r="J726" s="54"/>
      <c r="K726" s="5" t="s">
        <v>910</v>
      </c>
      <c r="L726" s="10" t="str">
        <f t="shared" si="63"/>
        <v>Desenvolvimento</v>
      </c>
    </row>
    <row r="727" spans="1:12" ht="15" hidden="1" customHeight="1">
      <c r="A727" s="21">
        <v>1685</v>
      </c>
      <c r="B727" s="5" t="s">
        <v>1506</v>
      </c>
      <c r="C727" s="5" t="s">
        <v>65</v>
      </c>
      <c r="D727" s="36" t="s">
        <v>2129</v>
      </c>
      <c r="E727" s="53"/>
      <c r="F727" s="53"/>
      <c r="G727" s="83"/>
      <c r="H727" s="83"/>
      <c r="I727" s="54"/>
      <c r="J727" s="54"/>
      <c r="K727" s="5" t="s">
        <v>910</v>
      </c>
      <c r="L727" s="10" t="str">
        <f t="shared" si="63"/>
        <v>Desenvolvimento</v>
      </c>
    </row>
    <row r="728" spans="1:12" ht="15" hidden="1" customHeight="1">
      <c r="A728" s="21">
        <v>1686</v>
      </c>
      <c r="B728" s="5" t="s">
        <v>1506</v>
      </c>
      <c r="C728" s="5" t="s">
        <v>65</v>
      </c>
      <c r="D728" s="36" t="s">
        <v>2130</v>
      </c>
      <c r="E728" s="53"/>
      <c r="F728" s="53"/>
      <c r="G728" s="83"/>
      <c r="H728" s="83"/>
      <c r="I728" s="54"/>
      <c r="J728" s="54"/>
      <c r="K728" s="5" t="s">
        <v>910</v>
      </c>
      <c r="L728" s="10" t="str">
        <f t="shared" si="63"/>
        <v>Desenvolvimento</v>
      </c>
    </row>
    <row r="729" spans="1:12" ht="15" hidden="1" customHeight="1">
      <c r="A729" s="21">
        <v>1687</v>
      </c>
      <c r="B729" s="5" t="s">
        <v>1506</v>
      </c>
      <c r="C729" s="5" t="s">
        <v>65</v>
      </c>
      <c r="D729" s="36" t="s">
        <v>2131</v>
      </c>
      <c r="E729" s="53"/>
      <c r="F729" s="53"/>
      <c r="G729" s="83"/>
      <c r="H729" s="83"/>
      <c r="I729" s="54"/>
      <c r="J729" s="54"/>
      <c r="K729" s="5" t="s">
        <v>910</v>
      </c>
      <c r="L729" s="10" t="str">
        <f t="shared" si="63"/>
        <v>Desenvolvimento</v>
      </c>
    </row>
    <row r="730" spans="1:12" ht="15" hidden="1" customHeight="1">
      <c r="A730" s="21">
        <v>1688</v>
      </c>
      <c r="B730" s="5" t="s">
        <v>1506</v>
      </c>
      <c r="C730" s="5" t="s">
        <v>65</v>
      </c>
      <c r="D730" s="36" t="s">
        <v>2132</v>
      </c>
      <c r="E730" s="53"/>
      <c r="F730" s="53"/>
      <c r="G730" s="83"/>
      <c r="H730" s="83"/>
      <c r="I730" s="54"/>
      <c r="J730" s="54"/>
      <c r="K730" s="5" t="s">
        <v>910</v>
      </c>
      <c r="L730" s="10" t="str">
        <f t="shared" si="63"/>
        <v>Desenvolvimento</v>
      </c>
    </row>
    <row r="731" spans="1:12" ht="15" hidden="1" customHeight="1">
      <c r="A731" s="21">
        <v>1689</v>
      </c>
      <c r="B731" s="5" t="s">
        <v>1506</v>
      </c>
      <c r="C731" s="5" t="s">
        <v>65</v>
      </c>
      <c r="D731" s="36">
        <v>9824183280</v>
      </c>
      <c r="E731" s="53"/>
      <c r="F731" s="53"/>
      <c r="G731" s="83"/>
      <c r="H731" s="83"/>
      <c r="I731" s="54"/>
      <c r="J731" s="54"/>
      <c r="K731" s="5" t="s">
        <v>910</v>
      </c>
      <c r="L731" s="10" t="str">
        <f t="shared" si="63"/>
        <v>Desenvolvimento</v>
      </c>
    </row>
    <row r="732" spans="1:12" ht="15" hidden="1" customHeight="1">
      <c r="A732" s="21">
        <v>1690</v>
      </c>
      <c r="B732" s="5" t="s">
        <v>1506</v>
      </c>
      <c r="C732" s="5" t="s">
        <v>65</v>
      </c>
      <c r="D732" s="36">
        <v>9811006280</v>
      </c>
      <c r="E732" s="53"/>
      <c r="F732" s="53"/>
      <c r="G732" s="83"/>
      <c r="H732" s="83"/>
      <c r="I732" s="54"/>
      <c r="J732" s="54"/>
      <c r="K732" s="5" t="s">
        <v>910</v>
      </c>
      <c r="L732" s="10" t="str">
        <f t="shared" si="63"/>
        <v>Desenvolvimento</v>
      </c>
    </row>
    <row r="733" spans="1:12" ht="15" hidden="1" customHeight="1">
      <c r="A733" s="21">
        <v>1691</v>
      </c>
      <c r="B733" s="5" t="s">
        <v>1506</v>
      </c>
      <c r="C733" s="5" t="s">
        <v>65</v>
      </c>
      <c r="D733" s="36">
        <v>9829759680</v>
      </c>
      <c r="E733" s="53"/>
      <c r="F733" s="53"/>
      <c r="G733" s="83"/>
      <c r="H733" s="83"/>
      <c r="I733" s="54"/>
      <c r="J733" s="54"/>
      <c r="K733" s="5" t="s">
        <v>910</v>
      </c>
      <c r="L733" s="10" t="str">
        <f t="shared" si="63"/>
        <v>Desenvolvimento</v>
      </c>
    </row>
    <row r="734" spans="1:12" ht="15" hidden="1" customHeight="1">
      <c r="A734" s="21">
        <v>1692</v>
      </c>
      <c r="B734" s="5" t="s">
        <v>1506</v>
      </c>
      <c r="C734" s="5" t="s">
        <v>65</v>
      </c>
      <c r="D734" s="36">
        <v>9825303980</v>
      </c>
      <c r="E734" s="53"/>
      <c r="F734" s="53"/>
      <c r="G734" s="83"/>
      <c r="H734" s="83"/>
      <c r="I734" s="54"/>
      <c r="J734" s="54"/>
      <c r="K734" s="5" t="s">
        <v>910</v>
      </c>
      <c r="L734" s="10" t="str">
        <f t="shared" si="63"/>
        <v>Desenvolvimento</v>
      </c>
    </row>
    <row r="735" spans="1:12" ht="15" hidden="1" customHeight="1">
      <c r="A735" s="21">
        <v>1693</v>
      </c>
      <c r="B735" s="5" t="s">
        <v>1506</v>
      </c>
      <c r="C735" s="5" t="s">
        <v>65</v>
      </c>
      <c r="D735" s="36">
        <v>9826090080</v>
      </c>
      <c r="E735" s="53"/>
      <c r="F735" s="53"/>
      <c r="G735" s="83"/>
      <c r="H735" s="83"/>
      <c r="I735" s="54"/>
      <c r="J735" s="54"/>
      <c r="K735" s="5" t="s">
        <v>910</v>
      </c>
      <c r="L735" s="10" t="str">
        <f t="shared" si="63"/>
        <v>Desenvolvimento</v>
      </c>
    </row>
    <row r="736" spans="1:12" ht="15" hidden="1" customHeight="1">
      <c r="A736" s="21">
        <v>1694</v>
      </c>
      <c r="B736" s="5" t="s">
        <v>1506</v>
      </c>
      <c r="C736" s="5" t="s">
        <v>65</v>
      </c>
      <c r="D736" s="36">
        <v>9826076980</v>
      </c>
      <c r="E736" s="53"/>
      <c r="F736" s="53"/>
      <c r="G736" s="83"/>
      <c r="H736" s="83"/>
      <c r="I736" s="54"/>
      <c r="J736" s="54"/>
      <c r="K736" s="5" t="s">
        <v>910</v>
      </c>
      <c r="L736" s="10" t="str">
        <f t="shared" si="63"/>
        <v>Desenvolvimento</v>
      </c>
    </row>
    <row r="737" spans="1:12" ht="15" hidden="1" customHeight="1">
      <c r="A737" s="21">
        <v>1695</v>
      </c>
      <c r="B737" s="5" t="s">
        <v>1506</v>
      </c>
      <c r="C737" s="5" t="s">
        <v>65</v>
      </c>
      <c r="D737" s="36" t="s">
        <v>2133</v>
      </c>
      <c r="E737" s="53"/>
      <c r="F737" s="53"/>
      <c r="G737" s="83"/>
      <c r="H737" s="83"/>
      <c r="I737" s="54"/>
      <c r="J737" s="54"/>
      <c r="K737" s="5" t="s">
        <v>910</v>
      </c>
      <c r="L737" s="10" t="str">
        <f t="shared" si="63"/>
        <v>Desenvolvimento</v>
      </c>
    </row>
    <row r="738" spans="1:12" ht="15" hidden="1" customHeight="1">
      <c r="A738" s="21">
        <v>1696</v>
      </c>
      <c r="B738" s="5" t="s">
        <v>1506</v>
      </c>
      <c r="C738" s="5" t="s">
        <v>65</v>
      </c>
      <c r="D738" s="36" t="s">
        <v>2134</v>
      </c>
      <c r="E738" s="53"/>
      <c r="F738" s="53"/>
      <c r="G738" s="83"/>
      <c r="H738" s="83"/>
      <c r="I738" s="54"/>
      <c r="J738" s="54"/>
      <c r="K738" s="5" t="s">
        <v>910</v>
      </c>
      <c r="L738" s="10" t="str">
        <f t="shared" si="63"/>
        <v>Desenvolvimento</v>
      </c>
    </row>
    <row r="739" spans="1:12" ht="15" hidden="1" customHeight="1">
      <c r="A739" s="21">
        <v>1697</v>
      </c>
      <c r="B739" s="5" t="s">
        <v>1506</v>
      </c>
      <c r="C739" s="5" t="s">
        <v>65</v>
      </c>
      <c r="D739" s="36" t="s">
        <v>2135</v>
      </c>
      <c r="E739" s="53"/>
      <c r="F739" s="53"/>
      <c r="G739" s="83"/>
      <c r="H739" s="83"/>
      <c r="I739" s="54"/>
      <c r="J739" s="54"/>
      <c r="K739" s="5" t="s">
        <v>910</v>
      </c>
      <c r="L739" s="10" t="str">
        <f t="shared" si="63"/>
        <v>Desenvolvimento</v>
      </c>
    </row>
    <row r="740" spans="1:12" ht="15" hidden="1" customHeight="1">
      <c r="A740" s="21">
        <v>1698</v>
      </c>
      <c r="B740" s="5" t="s">
        <v>1506</v>
      </c>
      <c r="C740" s="5" t="s">
        <v>65</v>
      </c>
      <c r="D740" s="36" t="s">
        <v>2144</v>
      </c>
      <c r="E740" s="53"/>
      <c r="F740" s="53"/>
      <c r="G740" s="83"/>
      <c r="H740" s="83"/>
      <c r="I740" s="54"/>
      <c r="J740" s="54"/>
      <c r="K740" s="5" t="s">
        <v>910</v>
      </c>
      <c r="L740" s="10" t="str">
        <f t="shared" si="63"/>
        <v>Desenvolvimento</v>
      </c>
    </row>
    <row r="741" spans="1:12" ht="15" hidden="1" customHeight="1">
      <c r="A741" s="21">
        <v>1699</v>
      </c>
      <c r="B741" s="5" t="s">
        <v>1506</v>
      </c>
      <c r="C741" s="5" t="s">
        <v>65</v>
      </c>
      <c r="D741" s="36" t="s">
        <v>2145</v>
      </c>
      <c r="E741" s="53"/>
      <c r="F741" s="53"/>
      <c r="G741" s="83"/>
      <c r="H741" s="83"/>
      <c r="I741" s="54"/>
      <c r="J741" s="54"/>
      <c r="K741" s="5" t="s">
        <v>910</v>
      </c>
      <c r="L741" s="10" t="str">
        <f t="shared" si="63"/>
        <v>Desenvolvimento</v>
      </c>
    </row>
    <row r="742" spans="1:12" ht="15" hidden="1" customHeight="1">
      <c r="A742" s="21">
        <v>1700</v>
      </c>
      <c r="B742" s="5" t="s">
        <v>1506</v>
      </c>
      <c r="C742" s="5" t="s">
        <v>65</v>
      </c>
      <c r="D742" s="36" t="s">
        <v>2146</v>
      </c>
      <c r="E742" s="53"/>
      <c r="F742" s="53"/>
      <c r="G742" s="83"/>
      <c r="H742" s="83"/>
      <c r="I742" s="54"/>
      <c r="J742" s="54"/>
      <c r="K742" s="5" t="s">
        <v>910</v>
      </c>
      <c r="L742" s="10" t="str">
        <f t="shared" si="63"/>
        <v>Desenvolvimento</v>
      </c>
    </row>
    <row r="743" spans="1:12" ht="15" hidden="1" customHeight="1">
      <c r="A743" s="21">
        <v>1701</v>
      </c>
      <c r="B743" s="5" t="s">
        <v>1506</v>
      </c>
      <c r="C743" s="29" t="s">
        <v>59</v>
      </c>
      <c r="D743" s="36" t="s">
        <v>2147</v>
      </c>
      <c r="E743" s="53"/>
      <c r="F743" s="53"/>
      <c r="G743" s="83"/>
      <c r="H743" s="83"/>
      <c r="I743" s="54"/>
      <c r="J743" s="54"/>
      <c r="K743" s="5" t="s">
        <v>910</v>
      </c>
      <c r="L743" s="10" t="str">
        <f t="shared" si="63"/>
        <v>Desenvolvimento</v>
      </c>
    </row>
    <row r="744" spans="1:12" ht="15" hidden="1" customHeight="1">
      <c r="A744" s="21">
        <v>1702</v>
      </c>
      <c r="B744" s="5" t="s">
        <v>1506</v>
      </c>
      <c r="C744" s="29" t="s">
        <v>59</v>
      </c>
      <c r="D744" s="9" t="s">
        <v>2148</v>
      </c>
      <c r="E744" s="6">
        <v>46055</v>
      </c>
      <c r="F744" s="91">
        <f t="shared" ref="F744" si="64">EOMONTH(E744,12)</f>
        <v>46446</v>
      </c>
      <c r="G744" s="78"/>
      <c r="H744" s="78" t="s">
        <v>2068</v>
      </c>
      <c r="I744" s="5" t="s">
        <v>64</v>
      </c>
      <c r="J744" s="16" t="s">
        <v>66</v>
      </c>
      <c r="K744" s="5" t="s">
        <v>6</v>
      </c>
      <c r="L744" s="10" t="str">
        <f t="shared" ca="1" si="63"/>
        <v>Calibrado</v>
      </c>
    </row>
    <row r="745" spans="1:12" ht="15" hidden="1" customHeight="1">
      <c r="A745" s="21">
        <v>1703</v>
      </c>
      <c r="B745" s="5" t="s">
        <v>1506</v>
      </c>
      <c r="C745" s="29" t="s">
        <v>59</v>
      </c>
      <c r="D745" s="9" t="s">
        <v>2149</v>
      </c>
      <c r="E745" s="6">
        <v>46066</v>
      </c>
      <c r="F745" s="91">
        <f t="shared" ref="F745" si="65">EOMONTH(E745,12)</f>
        <v>46446</v>
      </c>
      <c r="G745" s="78"/>
      <c r="H745" s="78" t="s">
        <v>2068</v>
      </c>
      <c r="I745" s="5" t="s">
        <v>64</v>
      </c>
      <c r="J745" s="16" t="s">
        <v>66</v>
      </c>
      <c r="K745" s="5" t="s">
        <v>6</v>
      </c>
      <c r="L745" s="10" t="str">
        <f t="shared" ref="L745" ca="1" si="66">IF(K745="TERCEIRO","TERCEIRO",IF(K745="EM MODIF.","EM MODIF.",IF(K745="INATIVO","INATIVO",IF($E745="","Desenvolvimento",IF($F745&lt;$M$1,"Atrasado","Calibrado")))))</f>
        <v>Calibrado</v>
      </c>
    </row>
    <row r="746" spans="1:12" ht="15" hidden="1" customHeight="1">
      <c r="A746" s="21">
        <v>1704</v>
      </c>
      <c r="B746" s="5" t="s">
        <v>1506</v>
      </c>
      <c r="C746" s="29" t="s">
        <v>59</v>
      </c>
      <c r="D746" s="90" t="s">
        <v>2150</v>
      </c>
      <c r="E746" s="6">
        <v>46129</v>
      </c>
      <c r="F746" s="91">
        <f t="shared" ref="F746" si="67">EOMONTH(E746,12)</f>
        <v>46507</v>
      </c>
      <c r="G746" s="78"/>
      <c r="H746" s="78" t="s">
        <v>2068</v>
      </c>
      <c r="I746" s="5" t="s">
        <v>64</v>
      </c>
      <c r="J746" s="16" t="s">
        <v>61</v>
      </c>
      <c r="K746" s="5" t="s">
        <v>6</v>
      </c>
      <c r="L746" s="10" t="str">
        <f t="shared" ref="L746" ca="1" si="68">IF(K746="TERCEIRO","TERCEIRO",IF(K746="EM MODIF.","EM MODIF.",IF(K746="INATIVO","INATIVO",IF($E746="","Desenvolvimento",IF($F746&lt;$M$1,"Atrasado","Calibrado")))))</f>
        <v>Calibrado</v>
      </c>
    </row>
    <row r="747" spans="1:12" ht="15" hidden="1" customHeight="1">
      <c r="A747" s="21">
        <v>1705</v>
      </c>
      <c r="B747" s="5" t="s">
        <v>1506</v>
      </c>
      <c r="C747" s="29" t="s">
        <v>59</v>
      </c>
      <c r="D747" s="90" t="s">
        <v>2151</v>
      </c>
      <c r="E747" s="6">
        <v>46076</v>
      </c>
      <c r="F747" s="91">
        <f t="shared" ref="F747" si="69">EOMONTH(E747,12)</f>
        <v>46446</v>
      </c>
      <c r="G747" s="78"/>
      <c r="H747" s="78" t="s">
        <v>2068</v>
      </c>
      <c r="I747" s="5" t="s">
        <v>64</v>
      </c>
      <c r="J747" s="16" t="s">
        <v>1802</v>
      </c>
      <c r="K747" s="5" t="s">
        <v>6</v>
      </c>
      <c r="L747" s="10" t="str">
        <f t="shared" ca="1" si="63"/>
        <v>Calibrado</v>
      </c>
    </row>
    <row r="748" spans="1:12" ht="15" hidden="1" customHeight="1">
      <c r="A748" s="21">
        <v>1706</v>
      </c>
      <c r="B748" s="5" t="s">
        <v>1506</v>
      </c>
      <c r="C748" s="29" t="s">
        <v>59</v>
      </c>
      <c r="D748" s="90" t="s">
        <v>2152</v>
      </c>
      <c r="E748" s="6">
        <v>46090</v>
      </c>
      <c r="F748" s="91">
        <f t="shared" ref="F748" si="70">EOMONTH(E748,12)</f>
        <v>46477</v>
      </c>
      <c r="G748" s="78"/>
      <c r="H748" s="78" t="s">
        <v>2068</v>
      </c>
      <c r="I748" s="5" t="s">
        <v>64</v>
      </c>
      <c r="J748" s="16" t="s">
        <v>1802</v>
      </c>
      <c r="K748" s="5" t="s">
        <v>6</v>
      </c>
      <c r="L748" s="10" t="str">
        <f t="shared" ref="L748" ca="1" si="71">IF(K748="TERCEIRO","TERCEIRO",IF(K748="EM MODIF.","EM MODIF.",IF(K748="INATIVO","INATIVO",IF($E748="","Desenvolvimento",IF($F748&lt;$M$1,"Atrasado","Calibrado")))))</f>
        <v>Calibrado</v>
      </c>
    </row>
    <row r="749" spans="1:12" ht="15" hidden="1" customHeight="1">
      <c r="A749" s="21">
        <v>1707</v>
      </c>
      <c r="B749" s="5" t="s">
        <v>1506</v>
      </c>
      <c r="C749" s="29" t="s">
        <v>59</v>
      </c>
      <c r="D749" s="36" t="s">
        <v>2136</v>
      </c>
      <c r="E749" s="53"/>
      <c r="F749" s="53"/>
      <c r="G749" s="83"/>
      <c r="H749" s="83"/>
      <c r="I749" s="54"/>
      <c r="J749" s="54"/>
      <c r="K749" s="5" t="s">
        <v>910</v>
      </c>
      <c r="L749" s="10" t="str">
        <f t="shared" si="63"/>
        <v>Desenvolvimento</v>
      </c>
    </row>
    <row r="750" spans="1:12" ht="15" hidden="1" customHeight="1">
      <c r="A750" s="21">
        <v>1708</v>
      </c>
      <c r="B750" s="5" t="s">
        <v>1506</v>
      </c>
      <c r="C750" s="29" t="s">
        <v>59</v>
      </c>
      <c r="D750" s="36" t="s">
        <v>2137</v>
      </c>
      <c r="E750" s="53"/>
      <c r="F750" s="53"/>
      <c r="G750" s="83"/>
      <c r="H750" s="83"/>
      <c r="I750" s="54"/>
      <c r="J750" s="54"/>
      <c r="K750" s="5" t="s">
        <v>910</v>
      </c>
      <c r="L750" s="10" t="str">
        <f t="shared" si="63"/>
        <v>Desenvolvimento</v>
      </c>
    </row>
    <row r="751" spans="1:12" ht="15" hidden="1" customHeight="1">
      <c r="A751" s="21">
        <v>1709</v>
      </c>
      <c r="B751" s="5" t="s">
        <v>1506</v>
      </c>
      <c r="C751" s="29" t="s">
        <v>59</v>
      </c>
      <c r="D751" s="36" t="s">
        <v>2138</v>
      </c>
      <c r="E751" s="53"/>
      <c r="F751" s="53"/>
      <c r="G751" s="83"/>
      <c r="H751" s="83"/>
      <c r="I751" s="54"/>
      <c r="J751" s="54"/>
      <c r="K751" s="5" t="s">
        <v>910</v>
      </c>
      <c r="L751" s="10" t="str">
        <f t="shared" si="63"/>
        <v>Desenvolvimento</v>
      </c>
    </row>
    <row r="752" spans="1:12" ht="15" hidden="1" customHeight="1">
      <c r="A752" s="21">
        <v>1710</v>
      </c>
      <c r="B752" s="5" t="s">
        <v>1506</v>
      </c>
      <c r="C752" s="29" t="s">
        <v>59</v>
      </c>
      <c r="D752" s="36" t="s">
        <v>2139</v>
      </c>
      <c r="E752" s="53"/>
      <c r="F752" s="53"/>
      <c r="G752" s="83"/>
      <c r="H752" s="83"/>
      <c r="I752" s="54"/>
      <c r="J752" s="54"/>
      <c r="K752" s="5" t="s">
        <v>910</v>
      </c>
      <c r="L752" s="10" t="str">
        <f t="shared" si="63"/>
        <v>Desenvolvimento</v>
      </c>
    </row>
    <row r="753" spans="1:12" ht="15" hidden="1" customHeight="1">
      <c r="A753" s="21">
        <v>1711</v>
      </c>
      <c r="B753" s="5" t="s">
        <v>1505</v>
      </c>
      <c r="C753" s="31" t="s">
        <v>34</v>
      </c>
      <c r="D753" s="9" t="s">
        <v>2140</v>
      </c>
      <c r="E753" s="6">
        <v>46237</v>
      </c>
      <c r="F753" s="91">
        <f t="shared" ref="F753" si="72">EOMONTH(E753,12)</f>
        <v>46630</v>
      </c>
      <c r="G753" s="78"/>
      <c r="H753" s="78" t="s">
        <v>2068</v>
      </c>
      <c r="I753" s="5" t="s">
        <v>64</v>
      </c>
      <c r="J753" s="16" t="s">
        <v>2166</v>
      </c>
      <c r="K753" s="5" t="s">
        <v>6</v>
      </c>
      <c r="L753" s="10" t="str">
        <f t="shared" ref="L753" ca="1" si="73">IF(K753="TERCEIRO","TERCEIRO",IF(K753="EM MODIF.","EM MODIF.",IF(K753="INATIVO","INATIVO",IF($E753="","Desenvolvimento",IF($F753&lt;$M$1,"Atrasado","Calibrado")))))</f>
        <v>Calibrado</v>
      </c>
    </row>
    <row r="754" spans="1:12" ht="15" hidden="1" customHeight="1">
      <c r="A754" s="21">
        <v>1712</v>
      </c>
      <c r="B754" s="5" t="s">
        <v>1505</v>
      </c>
      <c r="C754" s="39" t="s">
        <v>31</v>
      </c>
      <c r="D754" s="9" t="s">
        <v>2141</v>
      </c>
      <c r="E754" s="6">
        <v>46237</v>
      </c>
      <c r="F754" s="91">
        <f t="shared" ref="F754:F756" si="74">EOMONTH(E754,12)</f>
        <v>46630</v>
      </c>
      <c r="G754" s="78"/>
      <c r="H754" s="78" t="s">
        <v>2068</v>
      </c>
      <c r="I754" s="5" t="s">
        <v>64</v>
      </c>
      <c r="J754" s="16" t="s">
        <v>2167</v>
      </c>
      <c r="K754" s="5" t="s">
        <v>6</v>
      </c>
      <c r="L754" s="10" t="str">
        <f t="shared" ref="L754:L756" ca="1" si="75">IF(K754="TERCEIRO","TERCEIRO",IF(K754="EM MODIF.","EM MODIF.",IF(K754="INATIVO","INATIVO",IF($E754="","Desenvolvimento",IF($F754&lt;$M$1,"Atrasado","Calibrado")))))</f>
        <v>Calibrado</v>
      </c>
    </row>
    <row r="755" spans="1:12" ht="15" hidden="1" customHeight="1">
      <c r="A755" s="21">
        <v>1713</v>
      </c>
      <c r="B755" s="5" t="s">
        <v>1505</v>
      </c>
      <c r="C755" s="5" t="s">
        <v>65</v>
      </c>
      <c r="D755" s="9" t="s">
        <v>2142</v>
      </c>
      <c r="E755" s="6">
        <v>46237</v>
      </c>
      <c r="F755" s="91">
        <f t="shared" si="74"/>
        <v>46630</v>
      </c>
      <c r="G755" s="78"/>
      <c r="H755" s="78" t="s">
        <v>2068</v>
      </c>
      <c r="I755" s="5" t="s">
        <v>64</v>
      </c>
      <c r="J755" s="16" t="s">
        <v>2168</v>
      </c>
      <c r="K755" s="5" t="s">
        <v>6</v>
      </c>
      <c r="L755" s="10" t="str">
        <f t="shared" ca="1" si="75"/>
        <v>Calibrado</v>
      </c>
    </row>
    <row r="756" spans="1:12" ht="15" hidden="1" customHeight="1">
      <c r="A756" s="21">
        <v>1714</v>
      </c>
      <c r="B756" s="5" t="s">
        <v>1505</v>
      </c>
      <c r="C756" s="39" t="s">
        <v>31</v>
      </c>
      <c r="D756" s="9" t="s">
        <v>2143</v>
      </c>
      <c r="E756" s="6">
        <v>46237</v>
      </c>
      <c r="F756" s="91">
        <f t="shared" si="74"/>
        <v>46630</v>
      </c>
      <c r="G756" s="78"/>
      <c r="H756" s="78" t="s">
        <v>2068</v>
      </c>
      <c r="I756" s="5" t="s">
        <v>64</v>
      </c>
      <c r="J756" s="16" t="s">
        <v>2169</v>
      </c>
      <c r="K756" s="5" t="s">
        <v>6</v>
      </c>
      <c r="L756" s="10" t="str">
        <f t="shared" ca="1" si="75"/>
        <v>Calibrado</v>
      </c>
    </row>
    <row r="757" spans="1:12" ht="15" customHeight="1">
      <c r="A757" s="92"/>
      <c r="B757" s="5"/>
      <c r="C757" s="5"/>
      <c r="D757" s="9"/>
      <c r="E757" s="6"/>
      <c r="F757" s="6"/>
      <c r="G757" s="78"/>
      <c r="H757" s="78"/>
      <c r="I757" s="16"/>
      <c r="J757" s="16"/>
      <c r="K757" s="5"/>
      <c r="L757" s="5"/>
    </row>
    <row r="758" spans="1:12" ht="15" customHeight="1">
      <c r="A758" s="92"/>
      <c r="B758" s="5"/>
      <c r="C758" s="5"/>
      <c r="D758" s="9"/>
      <c r="E758" s="6"/>
      <c r="F758" s="6"/>
      <c r="G758" s="78"/>
      <c r="H758" s="78"/>
      <c r="I758" s="16"/>
      <c r="J758" s="16"/>
      <c r="K758" s="5"/>
      <c r="L758" s="5"/>
    </row>
    <row r="759" spans="1:12" ht="15" customHeight="1">
      <c r="A759" s="92"/>
      <c r="B759" s="5"/>
      <c r="C759" s="5"/>
      <c r="D759" s="9"/>
      <c r="E759" s="6"/>
      <c r="F759" s="6"/>
      <c r="G759" s="78"/>
      <c r="H759" s="78"/>
      <c r="I759" s="16"/>
      <c r="J759" s="16"/>
      <c r="K759" s="5"/>
      <c r="L759" s="5"/>
    </row>
    <row r="760" spans="1:12" ht="15" customHeight="1">
      <c r="A760" s="92"/>
      <c r="B760" s="5"/>
      <c r="C760" s="5"/>
      <c r="D760" s="9"/>
      <c r="E760" s="6"/>
      <c r="F760" s="6"/>
      <c r="G760" s="78"/>
      <c r="H760" s="78"/>
      <c r="I760" s="16"/>
      <c r="J760" s="16"/>
      <c r="K760" s="5"/>
      <c r="L760" s="5"/>
    </row>
    <row r="761" spans="1:12" ht="15" customHeight="1">
      <c r="A761" s="92"/>
      <c r="B761" s="5"/>
      <c r="C761" s="5"/>
      <c r="D761" s="9"/>
      <c r="E761" s="6"/>
      <c r="F761" s="6"/>
      <c r="G761" s="78"/>
      <c r="H761" s="78"/>
      <c r="I761" s="16"/>
      <c r="J761" s="16"/>
      <c r="K761" s="5"/>
      <c r="L761" s="5"/>
    </row>
    <row r="762" spans="1:12" ht="15" customHeight="1">
      <c r="A762" s="92"/>
      <c r="B762" s="5"/>
      <c r="C762" s="5"/>
      <c r="D762" s="9"/>
      <c r="E762" s="6"/>
      <c r="F762" s="6"/>
      <c r="G762" s="78"/>
      <c r="H762" s="78"/>
      <c r="I762" s="16"/>
      <c r="J762" s="16"/>
      <c r="K762" s="5"/>
      <c r="L762" s="5"/>
    </row>
    <row r="763" spans="1:12" ht="15" customHeight="1">
      <c r="A763" s="92"/>
      <c r="B763" s="5"/>
      <c r="C763" s="5"/>
      <c r="D763" s="9"/>
      <c r="E763" s="6"/>
      <c r="F763" s="6"/>
      <c r="G763" s="78"/>
      <c r="H763" s="78"/>
      <c r="I763" s="16"/>
      <c r="J763" s="16"/>
      <c r="K763" s="5"/>
      <c r="L763" s="5"/>
    </row>
    <row r="764" spans="1:12" ht="15" customHeight="1">
      <c r="A764" s="92"/>
      <c r="B764" s="5"/>
      <c r="C764" s="5"/>
      <c r="D764" s="9"/>
      <c r="E764" s="6"/>
      <c r="F764" s="6"/>
      <c r="G764" s="78"/>
      <c r="H764" s="78"/>
      <c r="I764" s="16"/>
      <c r="J764" s="16"/>
      <c r="K764" s="5"/>
      <c r="L764" s="5"/>
    </row>
    <row r="765" spans="1:12" ht="15" customHeight="1">
      <c r="A765" s="92"/>
      <c r="B765" s="5"/>
      <c r="C765" s="5"/>
      <c r="D765" s="9"/>
      <c r="E765" s="6"/>
      <c r="F765" s="6"/>
      <c r="G765" s="78"/>
      <c r="H765" s="78"/>
      <c r="I765" s="16"/>
      <c r="J765" s="16"/>
      <c r="K765" s="5"/>
      <c r="L765" s="5"/>
    </row>
    <row r="766" spans="1:12" ht="15" customHeight="1">
      <c r="A766" s="92"/>
      <c r="B766" s="5"/>
      <c r="C766" s="5"/>
      <c r="D766" s="9"/>
      <c r="E766" s="6"/>
      <c r="F766" s="6"/>
      <c r="G766" s="78"/>
      <c r="H766" s="78"/>
      <c r="I766" s="16"/>
      <c r="J766" s="16"/>
      <c r="K766" s="5"/>
      <c r="L766" s="5"/>
    </row>
    <row r="767" spans="1:12" ht="15" customHeight="1">
      <c r="A767" s="92"/>
      <c r="B767" s="5"/>
      <c r="C767" s="5"/>
      <c r="D767" s="9"/>
      <c r="E767" s="6"/>
      <c r="F767" s="6"/>
      <c r="G767" s="78"/>
      <c r="H767" s="78"/>
      <c r="I767" s="16"/>
      <c r="J767" s="16"/>
      <c r="K767" s="5"/>
      <c r="L767" s="5"/>
    </row>
    <row r="768" spans="1:12" ht="15" customHeight="1">
      <c r="A768" s="92"/>
      <c r="B768" s="5"/>
      <c r="C768" s="5"/>
      <c r="D768" s="9"/>
      <c r="E768" s="6"/>
      <c r="F768" s="6"/>
      <c r="G768" s="78"/>
      <c r="H768" s="78"/>
      <c r="I768" s="16"/>
      <c r="J768" s="16"/>
      <c r="K768" s="5"/>
      <c r="L768" s="5"/>
    </row>
    <row r="769" spans="1:12" ht="15" customHeight="1">
      <c r="A769" s="92"/>
      <c r="B769" s="5"/>
      <c r="C769" s="5"/>
      <c r="D769" s="9"/>
      <c r="E769" s="6"/>
      <c r="F769" s="6"/>
      <c r="G769" s="78"/>
      <c r="H769" s="78"/>
      <c r="I769" s="16"/>
      <c r="J769" s="16"/>
      <c r="K769" s="5"/>
      <c r="L769" s="5"/>
    </row>
    <row r="770" spans="1:12" ht="15" customHeight="1">
      <c r="A770" s="92"/>
      <c r="B770" s="5"/>
      <c r="C770" s="5"/>
      <c r="D770" s="9"/>
      <c r="E770" s="6"/>
      <c r="F770" s="6"/>
      <c r="G770" s="78"/>
      <c r="H770" s="78"/>
      <c r="I770" s="16"/>
      <c r="J770" s="16"/>
      <c r="K770" s="5"/>
      <c r="L770" s="5"/>
    </row>
    <row r="771" spans="1:12" ht="15" customHeight="1">
      <c r="A771" s="92"/>
      <c r="B771" s="5"/>
      <c r="C771" s="5"/>
      <c r="D771" s="9"/>
      <c r="E771" s="6"/>
      <c r="F771" s="6"/>
      <c r="G771" s="78"/>
      <c r="H771" s="78"/>
      <c r="I771" s="16"/>
      <c r="J771" s="16"/>
      <c r="K771" s="5"/>
      <c r="L771" s="5"/>
    </row>
    <row r="772" spans="1:12" ht="15" customHeight="1">
      <c r="A772" s="92"/>
      <c r="B772" s="5"/>
      <c r="C772" s="5"/>
      <c r="D772" s="9"/>
      <c r="E772" s="6"/>
      <c r="F772" s="6"/>
      <c r="G772" s="78"/>
      <c r="H772" s="78"/>
      <c r="I772" s="16"/>
      <c r="J772" s="16"/>
      <c r="K772" s="5"/>
      <c r="L772" s="5"/>
    </row>
    <row r="773" spans="1:12" ht="15" customHeight="1">
      <c r="A773" s="92"/>
      <c r="B773" s="5"/>
      <c r="C773" s="5"/>
      <c r="D773" s="9"/>
      <c r="E773" s="6"/>
      <c r="F773" s="6"/>
      <c r="G773" s="78"/>
      <c r="H773" s="78"/>
      <c r="I773" s="16"/>
      <c r="J773" s="16"/>
      <c r="K773" s="5"/>
      <c r="L773" s="5"/>
    </row>
    <row r="774" spans="1:12" ht="15" customHeight="1">
      <c r="A774" s="92"/>
      <c r="B774" s="5"/>
      <c r="C774" s="5"/>
      <c r="D774" s="9"/>
      <c r="E774" s="6"/>
      <c r="F774" s="6"/>
      <c r="G774" s="78"/>
      <c r="H774" s="78"/>
      <c r="I774" s="16"/>
      <c r="J774" s="16"/>
      <c r="K774" s="5"/>
      <c r="L774" s="5"/>
    </row>
    <row r="775" spans="1:12" ht="15" customHeight="1">
      <c r="A775" s="92"/>
      <c r="B775" s="5"/>
      <c r="C775" s="5"/>
      <c r="D775" s="9"/>
      <c r="E775" s="6"/>
      <c r="F775" s="6"/>
      <c r="G775" s="78"/>
      <c r="H775" s="78"/>
      <c r="I775" s="16"/>
      <c r="J775" s="16"/>
      <c r="K775" s="5"/>
      <c r="L775" s="5"/>
    </row>
    <row r="776" spans="1:12" ht="15" customHeight="1">
      <c r="A776" s="92"/>
      <c r="B776" s="5"/>
      <c r="C776" s="5"/>
      <c r="D776" s="9"/>
      <c r="E776" s="6"/>
      <c r="F776" s="6"/>
      <c r="G776" s="78"/>
      <c r="H776" s="78"/>
      <c r="I776" s="16"/>
      <c r="J776" s="16"/>
      <c r="K776" s="5"/>
      <c r="L776" s="5"/>
    </row>
    <row r="777" spans="1:12" ht="15" customHeight="1">
      <c r="A777" s="92"/>
      <c r="B777" s="5"/>
      <c r="C777" s="5"/>
      <c r="D777" s="9"/>
      <c r="E777" s="6"/>
      <c r="F777" s="6"/>
      <c r="G777" s="78"/>
      <c r="H777" s="78"/>
      <c r="I777" s="16"/>
      <c r="J777" s="16"/>
      <c r="K777" s="5"/>
      <c r="L777" s="5"/>
    </row>
    <row r="778" spans="1:12" ht="15" customHeight="1">
      <c r="A778" s="92"/>
      <c r="B778" s="5"/>
      <c r="C778" s="5"/>
      <c r="D778" s="9"/>
      <c r="E778" s="6"/>
      <c r="F778" s="6"/>
      <c r="G778" s="78"/>
      <c r="H778" s="78"/>
      <c r="I778" s="16"/>
      <c r="J778" s="16"/>
      <c r="K778" s="5"/>
      <c r="L778" s="5"/>
    </row>
    <row r="779" spans="1:12" ht="15" customHeight="1">
      <c r="A779" s="92"/>
      <c r="B779" s="5"/>
      <c r="C779" s="5"/>
      <c r="D779" s="9"/>
      <c r="E779" s="6"/>
      <c r="F779" s="6"/>
      <c r="G779" s="78"/>
      <c r="H779" s="78"/>
      <c r="I779" s="16"/>
      <c r="J779" s="16"/>
      <c r="K779" s="5"/>
      <c r="L779" s="5"/>
    </row>
    <row r="780" spans="1:12" ht="15" customHeight="1">
      <c r="A780" s="92"/>
      <c r="B780" s="5"/>
      <c r="C780" s="5"/>
      <c r="D780" s="9"/>
      <c r="E780" s="6"/>
      <c r="F780" s="6"/>
      <c r="G780" s="78"/>
      <c r="H780" s="78"/>
      <c r="I780" s="16"/>
      <c r="J780" s="16"/>
      <c r="K780" s="5"/>
      <c r="L780" s="5"/>
    </row>
    <row r="781" spans="1:12" ht="15" customHeight="1">
      <c r="A781" s="92"/>
      <c r="B781" s="5"/>
      <c r="C781" s="5"/>
      <c r="D781" s="9"/>
      <c r="E781" s="6"/>
      <c r="F781" s="6"/>
      <c r="G781" s="78"/>
      <c r="H781" s="78"/>
      <c r="I781" s="16"/>
      <c r="J781" s="16"/>
      <c r="K781" s="5"/>
      <c r="L781" s="5"/>
    </row>
    <row r="782" spans="1:12" ht="15" customHeight="1">
      <c r="A782" s="92"/>
      <c r="B782" s="5"/>
      <c r="C782" s="5"/>
      <c r="D782" s="9"/>
      <c r="E782" s="6"/>
      <c r="F782" s="6"/>
      <c r="G782" s="78"/>
      <c r="H782" s="78"/>
      <c r="I782" s="16"/>
      <c r="J782" s="16"/>
      <c r="K782" s="5"/>
      <c r="L782" s="5"/>
    </row>
    <row r="783" spans="1:12" ht="15" customHeight="1">
      <c r="A783" s="92"/>
      <c r="B783" s="5"/>
      <c r="C783" s="5"/>
      <c r="D783" s="9"/>
      <c r="E783" s="6"/>
      <c r="F783" s="6"/>
      <c r="G783" s="78"/>
      <c r="H783" s="78"/>
      <c r="I783" s="16"/>
      <c r="J783" s="16"/>
      <c r="K783" s="5"/>
      <c r="L783" s="5"/>
    </row>
    <row r="784" spans="1:12" ht="15" customHeight="1">
      <c r="A784" s="92"/>
      <c r="B784" s="5"/>
      <c r="C784" s="5"/>
      <c r="D784" s="9"/>
      <c r="E784" s="6"/>
      <c r="F784" s="6"/>
      <c r="G784" s="78"/>
      <c r="H784" s="78"/>
      <c r="I784" s="16"/>
      <c r="J784" s="16"/>
      <c r="K784" s="5"/>
      <c r="L784" s="5"/>
    </row>
    <row r="785" spans="1:12" ht="15" customHeight="1">
      <c r="A785" s="92"/>
      <c r="B785" s="5"/>
      <c r="C785" s="5"/>
      <c r="D785" s="9"/>
      <c r="E785" s="6"/>
      <c r="F785" s="6"/>
      <c r="G785" s="78"/>
      <c r="H785" s="78"/>
      <c r="I785" s="16"/>
      <c r="J785" s="16"/>
      <c r="K785" s="5"/>
      <c r="L785" s="5"/>
    </row>
    <row r="786" spans="1:12" ht="15" customHeight="1">
      <c r="A786" s="92"/>
      <c r="B786" s="5"/>
      <c r="C786" s="5"/>
      <c r="D786" s="9"/>
      <c r="E786" s="6"/>
      <c r="F786" s="6"/>
      <c r="G786" s="78"/>
      <c r="H786" s="78"/>
      <c r="I786" s="16"/>
      <c r="J786" s="16"/>
      <c r="K786" s="5"/>
      <c r="L786" s="5"/>
    </row>
    <row r="787" spans="1:12" ht="15" customHeight="1">
      <c r="A787" s="92"/>
      <c r="B787" s="5"/>
      <c r="C787" s="5"/>
      <c r="D787" s="9"/>
      <c r="E787" s="6"/>
      <c r="F787" s="6"/>
      <c r="G787" s="78"/>
      <c r="H787" s="78"/>
      <c r="I787" s="16"/>
      <c r="J787" s="16"/>
      <c r="K787" s="5"/>
      <c r="L787" s="5"/>
    </row>
    <row r="788" spans="1:12" ht="15" customHeight="1">
      <c r="A788" s="92"/>
      <c r="B788" s="5"/>
      <c r="C788" s="5"/>
      <c r="D788" s="9"/>
      <c r="E788" s="6"/>
      <c r="F788" s="6"/>
      <c r="G788" s="78"/>
      <c r="H788" s="78"/>
      <c r="I788" s="16"/>
      <c r="J788" s="16"/>
      <c r="K788" s="5"/>
      <c r="L788" s="5"/>
    </row>
    <row r="789" spans="1:12" ht="15" customHeight="1">
      <c r="A789" s="92"/>
      <c r="B789" s="5"/>
      <c r="C789" s="5"/>
      <c r="D789" s="9"/>
      <c r="E789" s="6"/>
      <c r="F789" s="6"/>
      <c r="G789" s="78"/>
      <c r="H789" s="78"/>
      <c r="I789" s="16"/>
      <c r="J789" s="16"/>
      <c r="K789" s="5"/>
      <c r="L789" s="5"/>
    </row>
    <row r="790" spans="1:12" ht="15" customHeight="1">
      <c r="A790" s="92"/>
      <c r="B790" s="5"/>
      <c r="C790" s="5"/>
      <c r="D790" s="9"/>
      <c r="E790" s="6"/>
      <c r="F790" s="6"/>
      <c r="G790" s="78"/>
      <c r="H790" s="78"/>
      <c r="I790" s="16"/>
      <c r="J790" s="16"/>
      <c r="K790" s="5"/>
      <c r="L790" s="5"/>
    </row>
    <row r="791" spans="1:12" ht="15" customHeight="1">
      <c r="A791" s="92"/>
      <c r="B791" s="5"/>
      <c r="C791" s="5"/>
      <c r="D791" s="9"/>
      <c r="E791" s="6"/>
      <c r="F791" s="6"/>
      <c r="G791" s="78"/>
      <c r="H791" s="78"/>
      <c r="I791" s="16"/>
      <c r="J791" s="16"/>
      <c r="K791" s="5"/>
      <c r="L791" s="5"/>
    </row>
    <row r="792" spans="1:12" ht="15" customHeight="1">
      <c r="A792" s="92"/>
      <c r="B792" s="5"/>
      <c r="C792" s="5"/>
      <c r="D792" s="9"/>
      <c r="E792" s="6"/>
      <c r="F792" s="6"/>
      <c r="G792" s="78"/>
      <c r="H792" s="78"/>
      <c r="I792" s="16"/>
      <c r="J792" s="16"/>
      <c r="K792" s="5"/>
      <c r="L792" s="5"/>
    </row>
    <row r="793" spans="1:12" ht="15" customHeight="1">
      <c r="A793" s="92"/>
      <c r="B793" s="5"/>
      <c r="C793" s="5"/>
      <c r="D793" s="9"/>
      <c r="E793" s="6"/>
      <c r="F793" s="6"/>
      <c r="G793" s="78"/>
      <c r="H793" s="78"/>
      <c r="I793" s="16"/>
      <c r="J793" s="16"/>
      <c r="K793" s="5"/>
      <c r="L793" s="5"/>
    </row>
    <row r="794" spans="1:12" ht="15" customHeight="1">
      <c r="A794" s="92"/>
      <c r="B794" s="5"/>
      <c r="C794" s="5"/>
      <c r="D794" s="9"/>
      <c r="E794" s="6"/>
      <c r="F794" s="6"/>
      <c r="G794" s="78"/>
      <c r="H794" s="78"/>
      <c r="I794" s="16"/>
      <c r="J794" s="16"/>
      <c r="K794" s="5"/>
      <c r="L794" s="5"/>
    </row>
    <row r="795" spans="1:12" ht="15" customHeight="1">
      <c r="A795" s="92"/>
      <c r="B795" s="5"/>
      <c r="C795" s="5"/>
      <c r="D795" s="9"/>
      <c r="E795" s="6"/>
      <c r="F795" s="6"/>
      <c r="G795" s="78"/>
      <c r="H795" s="78"/>
      <c r="I795" s="16"/>
      <c r="J795" s="16"/>
      <c r="K795" s="5"/>
      <c r="L795" s="5"/>
    </row>
    <row r="796" spans="1:12" ht="15" customHeight="1">
      <c r="A796" s="92"/>
      <c r="B796" s="5"/>
      <c r="C796" s="5"/>
      <c r="D796" s="9"/>
      <c r="E796" s="6"/>
      <c r="F796" s="6"/>
      <c r="G796" s="78"/>
      <c r="H796" s="78"/>
      <c r="I796" s="16"/>
      <c r="J796" s="16"/>
      <c r="K796" s="5"/>
      <c r="L796" s="5"/>
    </row>
    <row r="797" spans="1:12" ht="15" customHeight="1">
      <c r="A797" s="92"/>
      <c r="B797" s="5"/>
      <c r="C797" s="5"/>
      <c r="D797" s="9"/>
      <c r="E797" s="6"/>
      <c r="F797" s="6"/>
      <c r="G797" s="78"/>
      <c r="H797" s="78"/>
      <c r="I797" s="16"/>
      <c r="J797" s="16"/>
      <c r="K797" s="5"/>
      <c r="L797" s="5"/>
    </row>
    <row r="798" spans="1:12" ht="15" customHeight="1">
      <c r="A798" s="92"/>
      <c r="B798" s="5"/>
      <c r="C798" s="5"/>
      <c r="D798" s="9"/>
      <c r="E798" s="6"/>
      <c r="F798" s="6"/>
      <c r="G798" s="78"/>
      <c r="H798" s="78"/>
      <c r="I798" s="16"/>
      <c r="J798" s="16"/>
      <c r="K798" s="5"/>
      <c r="L798" s="5"/>
    </row>
    <row r="799" spans="1:12" ht="15" customHeight="1">
      <c r="A799" s="92"/>
      <c r="B799" s="5"/>
      <c r="C799" s="5"/>
      <c r="D799" s="9"/>
      <c r="E799" s="6"/>
      <c r="F799" s="6"/>
      <c r="G799" s="78"/>
      <c r="H799" s="78"/>
      <c r="I799" s="16"/>
      <c r="J799" s="16"/>
      <c r="K799" s="5"/>
      <c r="L799" s="5"/>
    </row>
    <row r="800" spans="1:12" ht="15" customHeight="1">
      <c r="A800" s="92"/>
      <c r="B800" s="5"/>
      <c r="C800" s="5"/>
      <c r="D800" s="9"/>
      <c r="E800" s="6"/>
      <c r="F800" s="6"/>
      <c r="G800" s="78"/>
      <c r="H800" s="78"/>
      <c r="I800" s="16"/>
      <c r="J800" s="16"/>
      <c r="K800" s="5"/>
      <c r="L800" s="5"/>
    </row>
    <row r="801" spans="1:12" ht="15" customHeight="1">
      <c r="A801" s="92"/>
      <c r="B801" s="5"/>
      <c r="C801" s="5"/>
      <c r="D801" s="9"/>
      <c r="E801" s="6"/>
      <c r="F801" s="6"/>
      <c r="G801" s="78"/>
      <c r="H801" s="78"/>
      <c r="I801" s="16"/>
      <c r="J801" s="16"/>
      <c r="K801" s="5"/>
      <c r="L801" s="5"/>
    </row>
    <row r="802" spans="1:12" ht="15" customHeight="1">
      <c r="A802" s="92"/>
      <c r="B802" s="5"/>
      <c r="C802" s="5"/>
      <c r="D802" s="9"/>
      <c r="E802" s="6"/>
      <c r="F802" s="6"/>
      <c r="G802" s="78"/>
      <c r="H802" s="78"/>
      <c r="I802" s="16"/>
      <c r="J802" s="16"/>
      <c r="K802" s="5"/>
      <c r="L802" s="5"/>
    </row>
    <row r="803" spans="1:12" ht="15" customHeight="1">
      <c r="A803" s="92"/>
      <c r="B803" s="5"/>
      <c r="C803" s="5"/>
      <c r="D803" s="9"/>
      <c r="E803" s="6"/>
      <c r="F803" s="6"/>
      <c r="G803" s="78"/>
      <c r="H803" s="78"/>
      <c r="I803" s="16"/>
      <c r="J803" s="16"/>
      <c r="K803" s="5"/>
      <c r="L803" s="5"/>
    </row>
    <row r="804" spans="1:12" ht="15" customHeight="1">
      <c r="A804" s="92"/>
      <c r="B804" s="5"/>
      <c r="C804" s="5"/>
      <c r="D804" s="9"/>
      <c r="E804" s="6"/>
      <c r="F804" s="6"/>
      <c r="G804" s="78"/>
      <c r="H804" s="78"/>
      <c r="I804" s="16"/>
      <c r="J804" s="16"/>
      <c r="K804" s="5"/>
      <c r="L804" s="5"/>
    </row>
    <row r="805" spans="1:12" ht="15" customHeight="1">
      <c r="A805" s="92"/>
      <c r="B805" s="5"/>
      <c r="C805" s="5"/>
      <c r="D805" s="9"/>
      <c r="E805" s="6"/>
      <c r="F805" s="6"/>
      <c r="G805" s="78"/>
      <c r="H805" s="78"/>
      <c r="I805" s="16"/>
      <c r="J805" s="16"/>
      <c r="K805" s="5"/>
      <c r="L805" s="5"/>
    </row>
    <row r="806" spans="1:12" ht="15" customHeight="1">
      <c r="A806" s="92"/>
      <c r="B806" s="5"/>
      <c r="C806" s="5"/>
      <c r="D806" s="9"/>
      <c r="E806" s="6"/>
      <c r="F806" s="6"/>
      <c r="G806" s="78"/>
      <c r="H806" s="78"/>
      <c r="I806" s="16"/>
      <c r="J806" s="16"/>
      <c r="K806" s="5"/>
      <c r="L806" s="5"/>
    </row>
    <row r="807" spans="1:12" ht="15" customHeight="1">
      <c r="A807" s="92"/>
      <c r="B807" s="5"/>
      <c r="C807" s="5"/>
      <c r="D807" s="9"/>
      <c r="E807" s="6"/>
      <c r="F807" s="6"/>
      <c r="G807" s="78"/>
      <c r="H807" s="78"/>
      <c r="I807" s="16"/>
      <c r="J807" s="16"/>
      <c r="K807" s="5"/>
      <c r="L807" s="5"/>
    </row>
    <row r="808" spans="1:12" ht="15" customHeight="1">
      <c r="A808" s="92"/>
      <c r="B808" s="5"/>
      <c r="C808" s="5"/>
      <c r="D808" s="9"/>
      <c r="E808" s="6"/>
      <c r="F808" s="6"/>
      <c r="G808" s="78"/>
      <c r="H808" s="78"/>
      <c r="I808" s="16"/>
      <c r="J808" s="16"/>
      <c r="K808" s="5"/>
      <c r="L808" s="5"/>
    </row>
    <row r="809" spans="1:12" ht="15" customHeight="1">
      <c r="A809" s="92"/>
      <c r="B809" s="5"/>
      <c r="C809" s="5"/>
      <c r="D809" s="9"/>
      <c r="E809" s="6"/>
      <c r="F809" s="6"/>
      <c r="G809" s="78"/>
      <c r="H809" s="78"/>
      <c r="I809" s="16"/>
      <c r="J809" s="16"/>
      <c r="K809" s="5"/>
      <c r="L809" s="5"/>
    </row>
    <row r="810" spans="1:12" ht="15" customHeight="1">
      <c r="A810" s="92"/>
      <c r="B810" s="5"/>
      <c r="C810" s="5"/>
      <c r="D810" s="9"/>
      <c r="E810" s="6"/>
      <c r="F810" s="6"/>
      <c r="G810" s="78"/>
      <c r="H810" s="78"/>
      <c r="I810" s="16"/>
      <c r="J810" s="16"/>
      <c r="K810" s="5"/>
      <c r="L810" s="5"/>
    </row>
    <row r="811" spans="1:12" ht="15" customHeight="1">
      <c r="A811" s="92"/>
      <c r="B811" s="5"/>
      <c r="C811" s="5"/>
      <c r="D811" s="9"/>
      <c r="E811" s="6"/>
      <c r="F811" s="6"/>
      <c r="G811" s="78"/>
      <c r="H811" s="78"/>
      <c r="I811" s="16"/>
      <c r="J811" s="16"/>
      <c r="K811" s="5"/>
      <c r="L811" s="5"/>
    </row>
    <row r="812" spans="1:12" ht="15" customHeight="1">
      <c r="A812" s="92"/>
      <c r="B812" s="5"/>
      <c r="C812" s="5"/>
      <c r="D812" s="9"/>
      <c r="E812" s="6"/>
      <c r="F812" s="6"/>
      <c r="G812" s="78"/>
      <c r="H812" s="78"/>
      <c r="I812" s="16"/>
      <c r="J812" s="16"/>
      <c r="K812" s="5"/>
      <c r="L812" s="5"/>
    </row>
    <row r="813" spans="1:12" ht="15" customHeight="1">
      <c r="A813" s="92"/>
      <c r="B813" s="5"/>
      <c r="C813" s="5"/>
      <c r="D813" s="9"/>
      <c r="E813" s="6"/>
      <c r="F813" s="6"/>
      <c r="G813" s="78"/>
      <c r="H813" s="78"/>
      <c r="I813" s="16"/>
      <c r="J813" s="16"/>
      <c r="K813" s="5"/>
      <c r="L813" s="5"/>
    </row>
    <row r="814" spans="1:12" ht="15" customHeight="1">
      <c r="A814" s="92"/>
      <c r="B814" s="5"/>
      <c r="C814" s="5"/>
      <c r="D814" s="9"/>
      <c r="E814" s="6"/>
      <c r="F814" s="6"/>
      <c r="G814" s="78"/>
      <c r="H814" s="78"/>
      <c r="I814" s="16"/>
      <c r="J814" s="16"/>
      <c r="K814" s="5"/>
      <c r="L814" s="5"/>
    </row>
    <row r="815" spans="1:12" ht="15" customHeight="1">
      <c r="A815" s="92"/>
      <c r="B815" s="5"/>
      <c r="C815" s="5"/>
      <c r="D815" s="9"/>
      <c r="E815" s="6"/>
      <c r="F815" s="6"/>
      <c r="G815" s="78"/>
      <c r="H815" s="78"/>
      <c r="I815" s="16"/>
      <c r="J815" s="16"/>
      <c r="K815" s="5"/>
      <c r="L815" s="5"/>
    </row>
    <row r="816" spans="1:12" ht="15" customHeight="1">
      <c r="A816" s="92"/>
      <c r="B816" s="5"/>
      <c r="C816" s="5"/>
      <c r="D816" s="9"/>
      <c r="E816" s="6"/>
      <c r="F816" s="6"/>
      <c r="G816" s="78"/>
      <c r="H816" s="78"/>
      <c r="I816" s="16"/>
      <c r="J816" s="16"/>
      <c r="K816" s="5"/>
      <c r="L816" s="5"/>
    </row>
    <row r="817" spans="1:12" ht="15" customHeight="1">
      <c r="A817" s="92"/>
      <c r="B817" s="5"/>
      <c r="C817" s="5"/>
      <c r="D817" s="9"/>
      <c r="E817" s="6"/>
      <c r="F817" s="6"/>
      <c r="G817" s="78"/>
      <c r="H817" s="78"/>
      <c r="I817" s="16"/>
      <c r="J817" s="16"/>
      <c r="K817" s="5"/>
      <c r="L817" s="5"/>
    </row>
    <row r="818" spans="1:12" ht="15" customHeight="1">
      <c r="A818" s="92"/>
      <c r="B818" s="5"/>
      <c r="C818" s="5"/>
      <c r="D818" s="9"/>
      <c r="E818" s="6"/>
      <c r="F818" s="6"/>
      <c r="G818" s="78"/>
      <c r="H818" s="78"/>
      <c r="I818" s="16"/>
      <c r="J818" s="16"/>
      <c r="K818" s="5"/>
      <c r="L818" s="5"/>
    </row>
    <row r="819" spans="1:12" ht="15" customHeight="1">
      <c r="A819" s="92"/>
      <c r="B819" s="5"/>
      <c r="C819" s="5"/>
      <c r="D819" s="9"/>
      <c r="E819" s="6"/>
      <c r="F819" s="6"/>
      <c r="G819" s="78"/>
      <c r="H819" s="78"/>
      <c r="I819" s="16"/>
      <c r="J819" s="16"/>
      <c r="K819" s="5"/>
      <c r="L819" s="5"/>
    </row>
    <row r="820" spans="1:12" ht="15" customHeight="1">
      <c r="A820" s="92"/>
      <c r="B820" s="5"/>
      <c r="C820" s="5"/>
      <c r="D820" s="9"/>
      <c r="E820" s="6"/>
      <c r="F820" s="6"/>
      <c r="G820" s="78"/>
      <c r="H820" s="78"/>
      <c r="I820" s="16"/>
      <c r="J820" s="16"/>
      <c r="K820" s="5"/>
      <c r="L820" s="5"/>
    </row>
    <row r="821" spans="1:12" ht="15" customHeight="1">
      <c r="A821" s="92"/>
      <c r="B821" s="5"/>
      <c r="C821" s="5"/>
      <c r="D821" s="9"/>
      <c r="E821" s="6"/>
      <c r="F821" s="6"/>
      <c r="G821" s="78"/>
      <c r="H821" s="78"/>
      <c r="I821" s="16"/>
      <c r="J821" s="16"/>
      <c r="K821" s="5"/>
      <c r="L821" s="5"/>
    </row>
    <row r="822" spans="1:12" ht="15" customHeight="1">
      <c r="A822" s="92"/>
      <c r="B822" s="5"/>
      <c r="C822" s="5"/>
      <c r="D822" s="9"/>
      <c r="E822" s="6"/>
      <c r="F822" s="6"/>
      <c r="G822" s="78"/>
      <c r="H822" s="78"/>
      <c r="I822" s="16"/>
      <c r="J822" s="16"/>
      <c r="K822" s="5"/>
      <c r="L822" s="5"/>
    </row>
    <row r="823" spans="1:12" ht="15" customHeight="1">
      <c r="A823" s="92"/>
      <c r="B823" s="5"/>
      <c r="C823" s="5"/>
      <c r="D823" s="9"/>
      <c r="E823" s="6"/>
      <c r="F823" s="6"/>
      <c r="G823" s="78"/>
      <c r="H823" s="78"/>
      <c r="I823" s="16"/>
      <c r="J823" s="16"/>
      <c r="K823" s="5"/>
      <c r="L823" s="5"/>
    </row>
    <row r="824" spans="1:12" ht="15" customHeight="1">
      <c r="A824" s="92"/>
      <c r="B824" s="5"/>
      <c r="C824" s="5"/>
      <c r="D824" s="9"/>
      <c r="E824" s="6"/>
      <c r="F824" s="6"/>
      <c r="G824" s="78"/>
      <c r="H824" s="78"/>
      <c r="I824" s="16"/>
      <c r="J824" s="16"/>
      <c r="K824" s="5"/>
      <c r="L824" s="5"/>
    </row>
    <row r="825" spans="1:12" ht="15" customHeight="1">
      <c r="A825" s="92"/>
      <c r="B825" s="5"/>
      <c r="C825" s="5"/>
      <c r="D825" s="9"/>
      <c r="E825" s="6"/>
      <c r="F825" s="6"/>
      <c r="G825" s="78"/>
      <c r="H825" s="78"/>
      <c r="I825" s="16"/>
      <c r="J825" s="16"/>
      <c r="K825" s="5"/>
      <c r="L825" s="5"/>
    </row>
    <row r="826" spans="1:12" ht="15" customHeight="1">
      <c r="A826" s="92"/>
      <c r="B826" s="5"/>
      <c r="C826" s="5"/>
      <c r="D826" s="9"/>
      <c r="E826" s="6"/>
      <c r="F826" s="6"/>
      <c r="G826" s="78"/>
      <c r="H826" s="78"/>
      <c r="I826" s="16"/>
      <c r="J826" s="16"/>
      <c r="K826" s="5"/>
      <c r="L826" s="5"/>
    </row>
    <row r="827" spans="1:12" ht="15" customHeight="1">
      <c r="A827" s="92"/>
      <c r="B827" s="5"/>
      <c r="C827" s="5"/>
      <c r="D827" s="9"/>
      <c r="E827" s="6"/>
      <c r="F827" s="6"/>
      <c r="G827" s="78"/>
      <c r="H827" s="78"/>
      <c r="I827" s="16"/>
      <c r="J827" s="16"/>
      <c r="K827" s="5"/>
      <c r="L827" s="5"/>
    </row>
    <row r="828" spans="1:12" ht="15" customHeight="1">
      <c r="A828" s="92"/>
      <c r="B828" s="5"/>
      <c r="C828" s="5"/>
      <c r="D828" s="9"/>
      <c r="E828" s="6"/>
      <c r="F828" s="6"/>
      <c r="G828" s="78"/>
      <c r="H828" s="78"/>
      <c r="I828" s="16"/>
      <c r="J828" s="16"/>
      <c r="K828" s="5"/>
      <c r="L828" s="5"/>
    </row>
    <row r="829" spans="1:12" ht="15" customHeight="1">
      <c r="A829" s="92"/>
      <c r="B829" s="5"/>
      <c r="C829" s="5"/>
      <c r="D829" s="9"/>
      <c r="E829" s="6"/>
      <c r="F829" s="6"/>
      <c r="G829" s="78"/>
      <c r="H829" s="78"/>
      <c r="I829" s="16"/>
      <c r="J829" s="16"/>
      <c r="K829" s="5"/>
      <c r="L829" s="5"/>
    </row>
    <row r="830" spans="1:12" ht="15" customHeight="1">
      <c r="A830" s="92"/>
      <c r="B830" s="5"/>
      <c r="C830" s="5"/>
      <c r="D830" s="9"/>
      <c r="E830" s="6"/>
      <c r="F830" s="6"/>
      <c r="G830" s="78"/>
      <c r="H830" s="78"/>
      <c r="I830" s="16"/>
      <c r="J830" s="16"/>
      <c r="K830" s="5"/>
      <c r="L830" s="5"/>
    </row>
    <row r="831" spans="1:12" ht="15" customHeight="1">
      <c r="A831" s="92"/>
      <c r="B831" s="5"/>
      <c r="C831" s="5"/>
      <c r="D831" s="9"/>
      <c r="E831" s="6"/>
      <c r="F831" s="6"/>
      <c r="G831" s="78"/>
      <c r="H831" s="78"/>
      <c r="I831" s="16"/>
      <c r="J831" s="16"/>
      <c r="K831" s="5"/>
      <c r="L831" s="5"/>
    </row>
    <row r="832" spans="1:12" ht="15" customHeight="1">
      <c r="A832" s="92"/>
      <c r="B832" s="5"/>
      <c r="C832" s="5"/>
      <c r="D832" s="9"/>
      <c r="E832" s="6"/>
      <c r="F832" s="6"/>
      <c r="G832" s="78"/>
      <c r="H832" s="78"/>
      <c r="I832" s="16"/>
      <c r="J832" s="16"/>
      <c r="K832" s="5"/>
      <c r="L832" s="5"/>
    </row>
    <row r="833" spans="1:12" ht="15" customHeight="1">
      <c r="A833" s="92"/>
      <c r="B833" s="5"/>
      <c r="C833" s="5"/>
      <c r="D833" s="9"/>
      <c r="E833" s="6"/>
      <c r="F833" s="6"/>
      <c r="G833" s="78"/>
      <c r="H833" s="78"/>
      <c r="I833" s="16"/>
      <c r="J833" s="16"/>
      <c r="K833" s="5"/>
      <c r="L833" s="5"/>
    </row>
    <row r="834" spans="1:12" ht="15" customHeight="1">
      <c r="A834" s="92"/>
      <c r="B834" s="5"/>
      <c r="C834" s="5"/>
      <c r="D834" s="9"/>
      <c r="E834" s="6"/>
      <c r="F834" s="6"/>
      <c r="G834" s="78"/>
      <c r="H834" s="78"/>
      <c r="I834" s="16"/>
      <c r="J834" s="16"/>
      <c r="K834" s="5"/>
      <c r="L834" s="5"/>
    </row>
    <row r="835" spans="1:12" ht="15" customHeight="1">
      <c r="A835" s="92"/>
      <c r="B835" s="5"/>
      <c r="C835" s="5"/>
      <c r="D835" s="9"/>
      <c r="E835" s="6"/>
      <c r="F835" s="6"/>
      <c r="G835" s="78"/>
      <c r="H835" s="78"/>
      <c r="I835" s="16"/>
      <c r="J835" s="16"/>
      <c r="K835" s="5"/>
      <c r="L835" s="5"/>
    </row>
    <row r="836" spans="1:12" ht="15" customHeight="1">
      <c r="A836" s="92"/>
      <c r="B836" s="5"/>
      <c r="C836" s="5"/>
      <c r="D836" s="9"/>
      <c r="E836" s="6"/>
      <c r="F836" s="6"/>
      <c r="G836" s="78"/>
      <c r="H836" s="78"/>
      <c r="I836" s="16"/>
      <c r="J836" s="16"/>
      <c r="K836" s="5"/>
      <c r="L836" s="5"/>
    </row>
    <row r="837" spans="1:12" ht="15" customHeight="1">
      <c r="A837" s="92"/>
      <c r="B837" s="5"/>
      <c r="C837" s="5"/>
      <c r="D837" s="9"/>
      <c r="E837" s="6"/>
      <c r="F837" s="6"/>
      <c r="G837" s="78"/>
      <c r="H837" s="78"/>
      <c r="I837" s="16"/>
      <c r="J837" s="16"/>
      <c r="K837" s="5"/>
      <c r="L837" s="5"/>
    </row>
    <row r="838" spans="1:12" ht="15" customHeight="1">
      <c r="A838" s="92"/>
      <c r="B838" s="5"/>
      <c r="C838" s="5"/>
      <c r="D838" s="9"/>
      <c r="E838" s="6"/>
      <c r="F838" s="6"/>
      <c r="G838" s="78"/>
      <c r="H838" s="78"/>
      <c r="I838" s="16"/>
      <c r="J838" s="16"/>
      <c r="K838" s="5"/>
      <c r="L838" s="5"/>
    </row>
    <row r="839" spans="1:12" ht="15" customHeight="1">
      <c r="A839" s="92"/>
      <c r="B839" s="5"/>
      <c r="C839" s="5"/>
      <c r="D839" s="9"/>
      <c r="E839" s="6"/>
      <c r="F839" s="6"/>
      <c r="G839" s="78"/>
      <c r="H839" s="78"/>
      <c r="I839" s="16"/>
      <c r="J839" s="16"/>
      <c r="K839" s="5"/>
      <c r="L839" s="5"/>
    </row>
    <row r="840" spans="1:12" ht="15" customHeight="1">
      <c r="A840" s="92"/>
      <c r="B840" s="5"/>
      <c r="C840" s="5"/>
      <c r="D840" s="9"/>
      <c r="E840" s="6"/>
      <c r="F840" s="6"/>
      <c r="G840" s="78"/>
      <c r="H840" s="78"/>
      <c r="I840" s="16"/>
      <c r="J840" s="16"/>
      <c r="K840" s="5"/>
      <c r="L840" s="5"/>
    </row>
    <row r="841" spans="1:12" ht="15" customHeight="1">
      <c r="A841" s="92"/>
      <c r="B841" s="5"/>
      <c r="C841" s="5"/>
      <c r="D841" s="9"/>
      <c r="E841" s="6"/>
      <c r="F841" s="6"/>
      <c r="G841" s="78"/>
      <c r="H841" s="78"/>
      <c r="I841" s="16"/>
      <c r="J841" s="16"/>
      <c r="K841" s="5"/>
      <c r="L841" s="5"/>
    </row>
    <row r="842" spans="1:12" ht="15" customHeight="1">
      <c r="A842" s="92"/>
      <c r="B842" s="5"/>
      <c r="C842" s="5"/>
      <c r="D842" s="9"/>
      <c r="E842" s="6"/>
      <c r="F842" s="6"/>
      <c r="G842" s="78"/>
      <c r="H842" s="78"/>
      <c r="I842" s="16"/>
      <c r="J842" s="16"/>
      <c r="K842" s="5"/>
      <c r="L842" s="5"/>
    </row>
    <row r="843" spans="1:12" ht="15" customHeight="1">
      <c r="A843" s="92"/>
      <c r="B843" s="5"/>
      <c r="C843" s="5"/>
      <c r="D843" s="9"/>
      <c r="E843" s="6"/>
      <c r="F843" s="6"/>
      <c r="G843" s="78"/>
      <c r="H843" s="78"/>
      <c r="I843" s="16"/>
      <c r="J843" s="16"/>
      <c r="K843" s="5"/>
      <c r="L843" s="5"/>
    </row>
    <row r="844" spans="1:12" ht="15" customHeight="1">
      <c r="A844" s="92"/>
      <c r="B844" s="5"/>
      <c r="C844" s="5"/>
      <c r="D844" s="9"/>
      <c r="E844" s="6"/>
      <c r="F844" s="6"/>
      <c r="G844" s="78"/>
      <c r="H844" s="78"/>
      <c r="I844" s="16"/>
      <c r="J844" s="16"/>
      <c r="K844" s="5"/>
      <c r="L844" s="5"/>
    </row>
    <row r="845" spans="1:12" ht="15" customHeight="1">
      <c r="A845" s="92"/>
      <c r="B845" s="5"/>
      <c r="C845" s="5"/>
      <c r="D845" s="9"/>
      <c r="E845" s="6"/>
      <c r="F845" s="6"/>
      <c r="G845" s="78"/>
      <c r="H845" s="78"/>
      <c r="I845" s="16"/>
      <c r="J845" s="16"/>
      <c r="K845" s="5"/>
      <c r="L845" s="5"/>
    </row>
    <row r="846" spans="1:12" ht="15" customHeight="1">
      <c r="A846" s="92"/>
      <c r="B846" s="5"/>
      <c r="C846" s="5"/>
      <c r="D846" s="9"/>
      <c r="E846" s="6"/>
      <c r="F846" s="6"/>
      <c r="G846" s="78"/>
      <c r="H846" s="78"/>
      <c r="I846" s="16"/>
      <c r="J846" s="16"/>
      <c r="K846" s="5"/>
      <c r="L846" s="5"/>
    </row>
    <row r="847" spans="1:12" ht="15" customHeight="1">
      <c r="A847" s="92"/>
      <c r="B847" s="5"/>
      <c r="C847" s="5"/>
      <c r="D847" s="9"/>
      <c r="E847" s="6"/>
      <c r="F847" s="6"/>
      <c r="G847" s="78"/>
      <c r="H847" s="78"/>
      <c r="I847" s="16"/>
      <c r="J847" s="16"/>
      <c r="K847" s="5"/>
      <c r="L847" s="5"/>
    </row>
    <row r="848" spans="1:12" ht="15" customHeight="1">
      <c r="A848" s="92"/>
      <c r="B848" s="5"/>
      <c r="C848" s="5"/>
      <c r="D848" s="9"/>
      <c r="E848" s="6"/>
      <c r="F848" s="6"/>
      <c r="G848" s="78"/>
      <c r="H848" s="78"/>
      <c r="I848" s="16"/>
      <c r="J848" s="16"/>
      <c r="K848" s="5"/>
      <c r="L848" s="5"/>
    </row>
    <row r="849" spans="1:12" ht="15" customHeight="1">
      <c r="A849" s="92"/>
      <c r="B849" s="5"/>
      <c r="C849" s="5"/>
      <c r="D849" s="9"/>
      <c r="E849" s="6"/>
      <c r="F849" s="6"/>
      <c r="G849" s="78"/>
      <c r="H849" s="78"/>
      <c r="I849" s="16"/>
      <c r="J849" s="16"/>
      <c r="K849" s="5"/>
      <c r="L849" s="5"/>
    </row>
    <row r="850" spans="1:12" ht="15" customHeight="1">
      <c r="A850" s="92"/>
      <c r="B850" s="5"/>
      <c r="C850" s="5"/>
      <c r="D850" s="9"/>
      <c r="E850" s="6"/>
      <c r="F850" s="6"/>
      <c r="G850" s="78"/>
      <c r="H850" s="78"/>
      <c r="I850" s="16"/>
      <c r="J850" s="16"/>
      <c r="K850" s="5"/>
      <c r="L850" s="5"/>
    </row>
    <row r="851" spans="1:12" ht="15" customHeight="1">
      <c r="A851" s="92"/>
      <c r="B851" s="5"/>
      <c r="C851" s="5"/>
      <c r="D851" s="9"/>
      <c r="E851" s="6"/>
      <c r="F851" s="6"/>
      <c r="G851" s="78"/>
      <c r="H851" s="78"/>
      <c r="I851" s="16"/>
      <c r="J851" s="16"/>
      <c r="K851" s="5"/>
      <c r="L851" s="5"/>
    </row>
    <row r="852" spans="1:12" ht="15" customHeight="1">
      <c r="A852" s="92"/>
      <c r="B852" s="5"/>
      <c r="C852" s="5"/>
      <c r="D852" s="9"/>
      <c r="E852" s="6"/>
      <c r="F852" s="6"/>
      <c r="G852" s="78"/>
      <c r="H852" s="78"/>
      <c r="I852" s="16"/>
      <c r="J852" s="16"/>
      <c r="K852" s="5"/>
      <c r="L852" s="5"/>
    </row>
    <row r="853" spans="1:12" ht="15" customHeight="1">
      <c r="A853" s="92"/>
      <c r="B853" s="5"/>
      <c r="C853" s="5"/>
      <c r="D853" s="9"/>
      <c r="E853" s="6"/>
      <c r="F853" s="6"/>
      <c r="G853" s="78"/>
      <c r="H853" s="78"/>
      <c r="I853" s="16"/>
      <c r="J853" s="16"/>
      <c r="K853" s="5"/>
      <c r="L853" s="5"/>
    </row>
    <row r="854" spans="1:12" ht="15" customHeight="1">
      <c r="A854" s="92"/>
      <c r="B854" s="5"/>
      <c r="C854" s="5"/>
      <c r="D854" s="9"/>
      <c r="E854" s="6"/>
      <c r="F854" s="6"/>
      <c r="G854" s="78"/>
      <c r="H854" s="78"/>
      <c r="I854" s="16"/>
      <c r="J854" s="16"/>
      <c r="K854" s="5"/>
      <c r="L854" s="5"/>
    </row>
    <row r="855" spans="1:12" ht="15" customHeight="1">
      <c r="A855" s="92"/>
      <c r="B855" s="5"/>
      <c r="C855" s="5"/>
      <c r="D855" s="9"/>
      <c r="E855" s="6"/>
      <c r="F855" s="6"/>
      <c r="G855" s="78"/>
      <c r="H855" s="78"/>
      <c r="I855" s="16"/>
      <c r="J855" s="16"/>
      <c r="K855" s="5"/>
      <c r="L855" s="5"/>
    </row>
    <row r="856" spans="1:12" ht="15" customHeight="1">
      <c r="A856" s="92"/>
      <c r="B856" s="5"/>
      <c r="C856" s="5"/>
      <c r="D856" s="9"/>
      <c r="E856" s="6"/>
      <c r="F856" s="6"/>
      <c r="G856" s="78"/>
      <c r="H856" s="78"/>
      <c r="I856" s="16"/>
      <c r="J856" s="16"/>
      <c r="K856" s="5"/>
      <c r="L856" s="5"/>
    </row>
    <row r="857" spans="1:12" ht="15" customHeight="1">
      <c r="A857" s="92"/>
      <c r="B857" s="5"/>
      <c r="C857" s="5"/>
      <c r="D857" s="9"/>
      <c r="E857" s="6"/>
      <c r="F857" s="6"/>
      <c r="G857" s="78"/>
      <c r="H857" s="78"/>
      <c r="I857" s="16"/>
      <c r="J857" s="16"/>
      <c r="K857" s="5"/>
      <c r="L857" s="5"/>
    </row>
    <row r="858" spans="1:12" ht="15" customHeight="1">
      <c r="A858" s="92"/>
      <c r="B858" s="5"/>
      <c r="C858" s="5"/>
      <c r="D858" s="9"/>
      <c r="E858" s="6"/>
      <c r="F858" s="6"/>
      <c r="G858" s="78"/>
      <c r="H858" s="78"/>
      <c r="I858" s="16"/>
      <c r="J858" s="16"/>
      <c r="K858" s="5"/>
      <c r="L858" s="5"/>
    </row>
    <row r="859" spans="1:12" ht="15" customHeight="1">
      <c r="A859" s="92"/>
      <c r="B859" s="5"/>
      <c r="C859" s="5"/>
      <c r="D859" s="9"/>
      <c r="E859" s="6"/>
      <c r="F859" s="6"/>
      <c r="G859" s="78"/>
      <c r="H859" s="78"/>
      <c r="I859" s="16"/>
      <c r="J859" s="16"/>
      <c r="K859" s="5"/>
      <c r="L859" s="5"/>
    </row>
    <row r="860" spans="1:12" ht="15" customHeight="1">
      <c r="A860" s="92"/>
      <c r="B860" s="5"/>
      <c r="C860" s="5"/>
      <c r="D860" s="9"/>
      <c r="E860" s="6"/>
      <c r="F860" s="6"/>
      <c r="G860" s="78"/>
      <c r="H860" s="78"/>
      <c r="I860" s="16"/>
      <c r="J860" s="16"/>
      <c r="K860" s="5"/>
      <c r="L860" s="5"/>
    </row>
    <row r="861" spans="1:12" ht="15" customHeight="1">
      <c r="A861" s="92"/>
      <c r="B861" s="5"/>
      <c r="C861" s="5"/>
      <c r="D861" s="9"/>
      <c r="E861" s="6"/>
      <c r="F861" s="6"/>
      <c r="G861" s="78"/>
      <c r="H861" s="78"/>
      <c r="I861" s="16"/>
      <c r="J861" s="16"/>
      <c r="K861" s="5"/>
      <c r="L861" s="5"/>
    </row>
    <row r="862" spans="1:12" ht="15" customHeight="1">
      <c r="A862" s="92"/>
      <c r="B862" s="5"/>
      <c r="C862" s="5"/>
      <c r="D862" s="9"/>
      <c r="E862" s="6"/>
      <c r="F862" s="6"/>
      <c r="G862" s="78"/>
      <c r="H862" s="78"/>
      <c r="I862" s="16"/>
      <c r="J862" s="16"/>
      <c r="K862" s="5"/>
      <c r="L862" s="5"/>
    </row>
    <row r="863" spans="1:12" ht="15" customHeight="1">
      <c r="A863" s="92"/>
      <c r="B863" s="5"/>
      <c r="C863" s="5"/>
      <c r="D863" s="9"/>
      <c r="E863" s="6"/>
      <c r="F863" s="6"/>
      <c r="G863" s="78"/>
      <c r="H863" s="78"/>
      <c r="I863" s="16"/>
      <c r="J863" s="16"/>
      <c r="K863" s="5"/>
      <c r="L863" s="5"/>
    </row>
    <row r="864" spans="1:12" ht="15" customHeight="1">
      <c r="A864" s="92"/>
      <c r="B864" s="5"/>
      <c r="C864" s="5"/>
      <c r="D864" s="9"/>
      <c r="E864" s="6"/>
      <c r="F864" s="6"/>
      <c r="G864" s="78"/>
      <c r="H864" s="78"/>
      <c r="I864" s="16"/>
      <c r="J864" s="16"/>
      <c r="K864" s="5"/>
      <c r="L864" s="5"/>
    </row>
    <row r="865" spans="1:12" ht="15" customHeight="1">
      <c r="A865" s="92"/>
      <c r="B865" s="5"/>
      <c r="C865" s="5"/>
      <c r="D865" s="9"/>
      <c r="E865" s="6"/>
      <c r="F865" s="6"/>
      <c r="G865" s="78"/>
      <c r="H865" s="78"/>
      <c r="I865" s="16"/>
      <c r="J865" s="16"/>
      <c r="K865" s="5"/>
      <c r="L865" s="5"/>
    </row>
    <row r="866" spans="1:12" ht="15" customHeight="1">
      <c r="A866" s="92"/>
      <c r="B866" s="5"/>
      <c r="C866" s="5"/>
      <c r="D866" s="9"/>
      <c r="E866" s="6"/>
      <c r="F866" s="6"/>
      <c r="G866" s="78"/>
      <c r="H866" s="78"/>
      <c r="I866" s="16"/>
      <c r="J866" s="16"/>
      <c r="K866" s="5"/>
      <c r="L866" s="5"/>
    </row>
    <row r="867" spans="1:12" ht="15" customHeight="1">
      <c r="A867" s="92"/>
      <c r="B867" s="5"/>
      <c r="C867" s="5"/>
      <c r="D867" s="9"/>
      <c r="E867" s="6"/>
      <c r="F867" s="6"/>
      <c r="G867" s="78"/>
      <c r="H867" s="78"/>
      <c r="I867" s="16"/>
      <c r="J867" s="16"/>
      <c r="K867" s="5"/>
      <c r="L867" s="5"/>
    </row>
    <row r="868" spans="1:12" ht="15" customHeight="1">
      <c r="A868" s="92"/>
      <c r="B868" s="5"/>
      <c r="C868" s="5"/>
      <c r="D868" s="9"/>
      <c r="E868" s="6"/>
      <c r="F868" s="6"/>
      <c r="G868" s="78"/>
      <c r="H868" s="78"/>
      <c r="I868" s="16"/>
      <c r="J868" s="16"/>
      <c r="K868" s="5"/>
      <c r="L868" s="5"/>
    </row>
    <row r="869" spans="1:12" ht="15" customHeight="1">
      <c r="A869" s="92"/>
      <c r="B869" s="5"/>
      <c r="C869" s="5"/>
      <c r="D869" s="9"/>
      <c r="E869" s="6"/>
      <c r="F869" s="6"/>
      <c r="G869" s="78"/>
      <c r="H869" s="78"/>
      <c r="I869" s="16"/>
      <c r="J869" s="16"/>
      <c r="K869" s="5"/>
      <c r="L869" s="5"/>
    </row>
    <row r="870" spans="1:12" ht="15" customHeight="1">
      <c r="A870" s="92"/>
      <c r="B870" s="5"/>
      <c r="C870" s="5"/>
      <c r="D870" s="9"/>
      <c r="E870" s="6"/>
      <c r="F870" s="6"/>
      <c r="G870" s="78"/>
      <c r="H870" s="78"/>
      <c r="I870" s="16"/>
      <c r="J870" s="16"/>
      <c r="K870" s="5"/>
      <c r="L870" s="5"/>
    </row>
    <row r="871" spans="1:12" ht="15" customHeight="1">
      <c r="A871" s="92"/>
      <c r="B871" s="5"/>
      <c r="C871" s="5"/>
      <c r="D871" s="9"/>
      <c r="E871" s="6"/>
      <c r="F871" s="6"/>
      <c r="G871" s="78"/>
      <c r="H871" s="78"/>
      <c r="I871" s="16"/>
      <c r="J871" s="16"/>
      <c r="K871" s="5"/>
      <c r="L871" s="5"/>
    </row>
    <row r="872" spans="1:12" ht="15" customHeight="1">
      <c r="A872" s="92"/>
      <c r="B872" s="5"/>
      <c r="C872" s="5"/>
      <c r="D872" s="9"/>
      <c r="E872" s="6"/>
      <c r="F872" s="6"/>
      <c r="G872" s="78"/>
      <c r="H872" s="78"/>
      <c r="I872" s="16"/>
      <c r="J872" s="16"/>
      <c r="K872" s="5"/>
      <c r="L872" s="5"/>
    </row>
    <row r="873" spans="1:12" ht="15" customHeight="1">
      <c r="A873" s="92"/>
      <c r="B873" s="5"/>
      <c r="C873" s="5"/>
      <c r="D873" s="9"/>
      <c r="E873" s="6"/>
      <c r="F873" s="6"/>
      <c r="G873" s="78"/>
      <c r="H873" s="78"/>
      <c r="I873" s="16"/>
      <c r="J873" s="16"/>
      <c r="K873" s="5"/>
      <c r="L873" s="5"/>
    </row>
    <row r="874" spans="1:12" ht="15" customHeight="1">
      <c r="A874" s="92"/>
      <c r="B874" s="5"/>
      <c r="C874" s="5"/>
      <c r="D874" s="9"/>
      <c r="E874" s="6"/>
      <c r="F874" s="6"/>
      <c r="G874" s="78"/>
      <c r="H874" s="78"/>
      <c r="I874" s="16"/>
      <c r="J874" s="16"/>
      <c r="K874" s="5"/>
      <c r="L874" s="5"/>
    </row>
    <row r="875" spans="1:12" ht="15" customHeight="1">
      <c r="A875" s="92"/>
      <c r="B875" s="5"/>
      <c r="C875" s="5"/>
      <c r="D875" s="9"/>
      <c r="E875" s="6"/>
      <c r="F875" s="6"/>
      <c r="G875" s="78"/>
      <c r="H875" s="78"/>
      <c r="I875" s="16"/>
      <c r="J875" s="16"/>
      <c r="K875" s="5"/>
      <c r="L875" s="5"/>
    </row>
    <row r="876" spans="1:12" ht="15" customHeight="1">
      <c r="A876" s="92"/>
      <c r="B876" s="5"/>
      <c r="C876" s="5"/>
      <c r="D876" s="9"/>
      <c r="E876" s="6"/>
      <c r="F876" s="6"/>
      <c r="G876" s="78"/>
      <c r="H876" s="78"/>
      <c r="I876" s="16"/>
      <c r="J876" s="16"/>
      <c r="K876" s="5"/>
      <c r="L876" s="5"/>
    </row>
    <row r="877" spans="1:12" ht="15" customHeight="1">
      <c r="A877" s="92"/>
      <c r="B877" s="5"/>
      <c r="C877" s="5"/>
      <c r="D877" s="9"/>
      <c r="E877" s="6"/>
      <c r="F877" s="6"/>
      <c r="G877" s="78"/>
      <c r="H877" s="78"/>
      <c r="I877" s="16"/>
      <c r="J877" s="16"/>
      <c r="K877" s="5"/>
      <c r="L877" s="5"/>
    </row>
    <row r="878" spans="1:12" ht="15" customHeight="1">
      <c r="A878" s="92"/>
      <c r="B878" s="5"/>
      <c r="C878" s="5"/>
      <c r="D878" s="9"/>
      <c r="E878" s="6"/>
      <c r="F878" s="6"/>
      <c r="G878" s="78"/>
      <c r="H878" s="78"/>
      <c r="I878" s="16"/>
      <c r="J878" s="16"/>
      <c r="K878" s="5"/>
      <c r="L878" s="5"/>
    </row>
    <row r="879" spans="1:12" ht="15" customHeight="1">
      <c r="A879" s="92"/>
      <c r="B879" s="5"/>
      <c r="C879" s="5"/>
      <c r="D879" s="9"/>
      <c r="E879" s="6"/>
      <c r="F879" s="6"/>
      <c r="G879" s="78"/>
      <c r="H879" s="78"/>
      <c r="I879" s="16"/>
      <c r="J879" s="16"/>
      <c r="K879" s="5"/>
      <c r="L879" s="5"/>
    </row>
    <row r="880" spans="1:12" ht="15" customHeight="1">
      <c r="A880" s="92"/>
      <c r="B880" s="5"/>
      <c r="C880" s="5"/>
      <c r="D880" s="9"/>
      <c r="E880" s="6"/>
      <c r="F880" s="6"/>
      <c r="G880" s="78"/>
      <c r="H880" s="78"/>
      <c r="I880" s="16"/>
      <c r="J880" s="16"/>
      <c r="K880" s="5"/>
      <c r="L880" s="5"/>
    </row>
    <row r="881" spans="1:12" ht="15" customHeight="1">
      <c r="A881" s="92"/>
      <c r="B881" s="5"/>
      <c r="C881" s="5"/>
      <c r="D881" s="9"/>
      <c r="E881" s="6"/>
      <c r="F881" s="6"/>
      <c r="G881" s="78"/>
      <c r="H881" s="78"/>
      <c r="I881" s="16"/>
      <c r="J881" s="16"/>
      <c r="K881" s="5"/>
      <c r="L881" s="5"/>
    </row>
    <row r="882" spans="1:12" ht="15" customHeight="1">
      <c r="A882" s="92"/>
      <c r="B882" s="5"/>
      <c r="C882" s="5"/>
      <c r="D882" s="9"/>
      <c r="E882" s="6"/>
      <c r="F882" s="6"/>
      <c r="G882" s="78"/>
      <c r="H882" s="78"/>
      <c r="I882" s="16"/>
      <c r="J882" s="16"/>
      <c r="K882" s="5"/>
      <c r="L882" s="5"/>
    </row>
    <row r="883" spans="1:12" ht="15" customHeight="1">
      <c r="A883" s="92"/>
      <c r="B883" s="5"/>
      <c r="C883" s="5"/>
      <c r="D883" s="9"/>
      <c r="E883" s="6"/>
      <c r="F883" s="6"/>
      <c r="G883" s="78"/>
      <c r="H883" s="78"/>
      <c r="I883" s="16"/>
      <c r="J883" s="16"/>
      <c r="K883" s="5"/>
      <c r="L883" s="5"/>
    </row>
    <row r="884" spans="1:12" ht="15" customHeight="1">
      <c r="A884" s="92"/>
      <c r="B884" s="5"/>
      <c r="C884" s="5"/>
      <c r="D884" s="9"/>
      <c r="E884" s="6"/>
      <c r="F884" s="6"/>
      <c r="G884" s="78"/>
      <c r="H884" s="78"/>
      <c r="I884" s="16"/>
      <c r="J884" s="16"/>
      <c r="K884" s="5"/>
      <c r="L884" s="5"/>
    </row>
    <row r="885" spans="1:12" ht="15" customHeight="1">
      <c r="A885" s="92"/>
      <c r="B885" s="5"/>
      <c r="C885" s="5"/>
      <c r="D885" s="9"/>
      <c r="E885" s="6"/>
      <c r="F885" s="6"/>
      <c r="G885" s="78"/>
      <c r="H885" s="78"/>
      <c r="I885" s="16"/>
      <c r="J885" s="16"/>
      <c r="K885" s="5"/>
      <c r="L885" s="5"/>
    </row>
    <row r="886" spans="1:12" ht="15" customHeight="1">
      <c r="A886" s="92"/>
      <c r="B886" s="5"/>
      <c r="C886" s="5"/>
      <c r="D886" s="9"/>
      <c r="E886" s="6"/>
      <c r="F886" s="6"/>
      <c r="G886" s="78"/>
      <c r="H886" s="78"/>
      <c r="I886" s="16"/>
      <c r="J886" s="16"/>
      <c r="K886" s="5"/>
      <c r="L886" s="5"/>
    </row>
    <row r="887" spans="1:12" ht="15" customHeight="1">
      <c r="A887" s="92"/>
      <c r="B887" s="5"/>
      <c r="C887" s="5"/>
      <c r="D887" s="9"/>
      <c r="E887" s="6"/>
      <c r="F887" s="6"/>
      <c r="G887" s="78"/>
      <c r="H887" s="78"/>
      <c r="I887" s="16"/>
      <c r="J887" s="16"/>
      <c r="K887" s="5"/>
      <c r="L887" s="5"/>
    </row>
    <row r="888" spans="1:12" ht="15" customHeight="1">
      <c r="A888" s="92"/>
      <c r="B888" s="5"/>
      <c r="C888" s="5"/>
      <c r="D888" s="9"/>
      <c r="E888" s="6"/>
      <c r="F888" s="6"/>
      <c r="G888" s="78"/>
      <c r="H888" s="78"/>
      <c r="I888" s="16"/>
      <c r="J888" s="16"/>
      <c r="K888" s="5"/>
      <c r="L888" s="5"/>
    </row>
    <row r="889" spans="1:12" ht="15" customHeight="1">
      <c r="A889" s="92"/>
      <c r="B889" s="5"/>
      <c r="C889" s="5"/>
      <c r="D889" s="9"/>
      <c r="E889" s="6"/>
      <c r="F889" s="6"/>
      <c r="G889" s="78"/>
      <c r="H889" s="78"/>
      <c r="I889" s="16"/>
      <c r="J889" s="16"/>
      <c r="K889" s="5"/>
      <c r="L889" s="5"/>
    </row>
    <row r="890" spans="1:12" ht="15" customHeight="1">
      <c r="A890" s="92"/>
      <c r="B890" s="5"/>
      <c r="C890" s="5"/>
      <c r="D890" s="9"/>
      <c r="E890" s="6"/>
      <c r="F890" s="6"/>
      <c r="G890" s="78"/>
      <c r="H890" s="78"/>
      <c r="I890" s="16"/>
      <c r="J890" s="16"/>
      <c r="K890" s="5"/>
      <c r="L890" s="5"/>
    </row>
    <row r="891" spans="1:12" ht="15" customHeight="1">
      <c r="A891" s="92"/>
      <c r="B891" s="5"/>
      <c r="C891" s="5"/>
      <c r="D891" s="9"/>
      <c r="E891" s="6"/>
      <c r="F891" s="6"/>
      <c r="G891" s="78"/>
      <c r="H891" s="78"/>
      <c r="I891" s="16"/>
      <c r="J891" s="16"/>
      <c r="K891" s="5"/>
      <c r="L891" s="5"/>
    </row>
    <row r="892" spans="1:12" ht="15" customHeight="1">
      <c r="A892" s="92"/>
      <c r="B892" s="5"/>
      <c r="C892" s="5"/>
      <c r="D892" s="9"/>
      <c r="E892" s="6"/>
      <c r="F892" s="6"/>
      <c r="G892" s="78"/>
      <c r="H892" s="78"/>
      <c r="I892" s="16"/>
      <c r="J892" s="16"/>
      <c r="K892" s="5"/>
      <c r="L892" s="5"/>
    </row>
    <row r="893" spans="1:12" ht="15" customHeight="1">
      <c r="A893" s="92"/>
      <c r="B893" s="5"/>
      <c r="C893" s="5"/>
      <c r="D893" s="9"/>
      <c r="E893" s="6"/>
      <c r="F893" s="6"/>
      <c r="G893" s="78"/>
      <c r="H893" s="78"/>
      <c r="I893" s="16"/>
      <c r="J893" s="16"/>
      <c r="K893" s="5"/>
      <c r="L893" s="5"/>
    </row>
    <row r="894" spans="1:12" ht="15" customHeight="1">
      <c r="A894" s="92"/>
      <c r="B894" s="5"/>
      <c r="C894" s="5"/>
      <c r="D894" s="9"/>
      <c r="E894" s="6"/>
      <c r="F894" s="6"/>
      <c r="G894" s="78"/>
      <c r="H894" s="78"/>
      <c r="I894" s="16"/>
      <c r="J894" s="16"/>
      <c r="K894" s="5"/>
      <c r="L894" s="5"/>
    </row>
    <row r="895" spans="1:12" ht="15" customHeight="1">
      <c r="A895" s="92"/>
      <c r="B895" s="5"/>
      <c r="C895" s="5"/>
      <c r="D895" s="9"/>
      <c r="E895" s="6"/>
      <c r="F895" s="6"/>
      <c r="G895" s="78"/>
      <c r="H895" s="78"/>
      <c r="I895" s="16"/>
      <c r="J895" s="16"/>
      <c r="K895" s="5"/>
      <c r="L895" s="5"/>
    </row>
    <row r="896" spans="1:12" ht="15" customHeight="1">
      <c r="A896" s="92"/>
      <c r="B896" s="5"/>
      <c r="C896" s="5"/>
      <c r="D896" s="9"/>
      <c r="E896" s="6"/>
      <c r="F896" s="6"/>
      <c r="G896" s="78"/>
      <c r="H896" s="78"/>
      <c r="I896" s="16"/>
      <c r="J896" s="16"/>
      <c r="K896" s="5"/>
      <c r="L896" s="5"/>
    </row>
    <row r="897" spans="1:12" ht="15" customHeight="1">
      <c r="A897" s="92"/>
      <c r="B897" s="5"/>
      <c r="C897" s="5"/>
      <c r="D897" s="9"/>
      <c r="E897" s="6"/>
      <c r="F897" s="6"/>
      <c r="G897" s="78"/>
      <c r="H897" s="78"/>
      <c r="I897" s="16"/>
      <c r="J897" s="16"/>
      <c r="K897" s="5"/>
      <c r="L897" s="5"/>
    </row>
    <row r="898" spans="1:12" ht="15" customHeight="1">
      <c r="A898" s="92"/>
      <c r="B898" s="5"/>
      <c r="C898" s="5"/>
      <c r="D898" s="9"/>
      <c r="E898" s="6"/>
      <c r="F898" s="6"/>
      <c r="G898" s="78"/>
      <c r="H898" s="78"/>
      <c r="I898" s="16"/>
      <c r="J898" s="16"/>
      <c r="K898" s="5"/>
      <c r="L898" s="5"/>
    </row>
    <row r="899" spans="1:12" ht="15" customHeight="1">
      <c r="A899" s="92"/>
      <c r="B899" s="5"/>
      <c r="C899" s="5"/>
      <c r="D899" s="9"/>
      <c r="E899" s="6"/>
      <c r="F899" s="6"/>
      <c r="G899" s="78"/>
      <c r="H899" s="78"/>
      <c r="I899" s="16"/>
      <c r="J899" s="16"/>
      <c r="K899" s="5"/>
      <c r="L899" s="5"/>
    </row>
    <row r="900" spans="1:12" ht="15" customHeight="1">
      <c r="A900" s="92"/>
      <c r="B900" s="5"/>
      <c r="C900" s="5"/>
      <c r="D900" s="9"/>
      <c r="E900" s="6"/>
      <c r="F900" s="6"/>
      <c r="G900" s="78"/>
      <c r="H900" s="78"/>
      <c r="I900" s="16"/>
      <c r="J900" s="16"/>
      <c r="K900" s="5"/>
      <c r="L900" s="5"/>
    </row>
    <row r="901" spans="1:12" ht="15" customHeight="1">
      <c r="A901" s="92"/>
      <c r="B901" s="5"/>
      <c r="C901" s="5"/>
      <c r="D901" s="9"/>
      <c r="E901" s="6"/>
      <c r="F901" s="6"/>
      <c r="G901" s="78"/>
      <c r="H901" s="78"/>
      <c r="I901" s="16"/>
      <c r="J901" s="16"/>
      <c r="K901" s="5"/>
      <c r="L901" s="5"/>
    </row>
    <row r="902" spans="1:12" ht="15" customHeight="1">
      <c r="A902" s="92"/>
      <c r="B902" s="5"/>
      <c r="C902" s="5"/>
      <c r="D902" s="9"/>
      <c r="E902" s="6"/>
      <c r="F902" s="6"/>
      <c r="G902" s="78"/>
      <c r="H902" s="78"/>
      <c r="I902" s="16"/>
      <c r="J902" s="16"/>
      <c r="K902" s="5"/>
      <c r="L902" s="5"/>
    </row>
    <row r="903" spans="1:12" ht="15" customHeight="1">
      <c r="A903" s="92"/>
      <c r="B903" s="5"/>
      <c r="C903" s="5"/>
      <c r="D903" s="9"/>
      <c r="E903" s="6"/>
      <c r="F903" s="6"/>
      <c r="G903" s="78"/>
      <c r="H903" s="78"/>
      <c r="I903" s="16"/>
      <c r="J903" s="16"/>
      <c r="K903" s="5"/>
      <c r="L903" s="5"/>
    </row>
    <row r="904" spans="1:12" ht="15" customHeight="1">
      <c r="A904" s="92"/>
      <c r="B904" s="5"/>
      <c r="C904" s="5"/>
      <c r="D904" s="9"/>
      <c r="E904" s="6"/>
      <c r="F904" s="6"/>
      <c r="G904" s="78"/>
      <c r="H904" s="78"/>
      <c r="I904" s="16"/>
      <c r="J904" s="16"/>
      <c r="K904" s="5"/>
      <c r="L904" s="5"/>
    </row>
    <row r="905" spans="1:12" ht="15" customHeight="1">
      <c r="A905" s="92"/>
      <c r="B905" s="5"/>
      <c r="C905" s="5"/>
      <c r="D905" s="9"/>
      <c r="E905" s="6"/>
      <c r="F905" s="6"/>
      <c r="G905" s="78"/>
      <c r="H905" s="78"/>
      <c r="I905" s="16"/>
      <c r="J905" s="16"/>
      <c r="K905" s="5"/>
      <c r="L905" s="5"/>
    </row>
    <row r="906" spans="1:12" ht="15" customHeight="1">
      <c r="A906" s="92"/>
      <c r="B906" s="5"/>
      <c r="C906" s="5"/>
      <c r="D906" s="9"/>
      <c r="E906" s="6"/>
      <c r="F906" s="6"/>
      <c r="G906" s="78"/>
      <c r="H906" s="78"/>
      <c r="I906" s="16"/>
      <c r="J906" s="16"/>
      <c r="K906" s="5"/>
      <c r="L906" s="5"/>
    </row>
    <row r="907" spans="1:12" ht="15" customHeight="1">
      <c r="A907" s="92"/>
      <c r="B907" s="5"/>
      <c r="C907" s="5"/>
      <c r="D907" s="9"/>
      <c r="E907" s="6"/>
      <c r="F907" s="6"/>
      <c r="G907" s="78"/>
      <c r="H907" s="78"/>
      <c r="I907" s="16"/>
      <c r="J907" s="16"/>
      <c r="K907" s="5"/>
      <c r="L907" s="5"/>
    </row>
    <row r="908" spans="1:12" ht="15" customHeight="1">
      <c r="A908" s="92"/>
      <c r="B908" s="5"/>
      <c r="C908" s="5"/>
      <c r="D908" s="9"/>
      <c r="E908" s="6"/>
      <c r="F908" s="6"/>
      <c r="G908" s="78"/>
      <c r="H908" s="78"/>
      <c r="I908" s="16"/>
      <c r="J908" s="16"/>
      <c r="K908" s="5"/>
      <c r="L908" s="5"/>
    </row>
    <row r="909" spans="1:12" ht="15" customHeight="1">
      <c r="A909" s="92"/>
      <c r="B909" s="5"/>
      <c r="C909" s="5"/>
      <c r="D909" s="9"/>
      <c r="E909" s="6"/>
      <c r="F909" s="6"/>
      <c r="G909" s="78"/>
      <c r="H909" s="78"/>
      <c r="I909" s="16"/>
      <c r="J909" s="16"/>
      <c r="K909" s="5"/>
      <c r="L909" s="5"/>
    </row>
    <row r="910" spans="1:12" ht="15" customHeight="1">
      <c r="A910" s="92"/>
      <c r="B910" s="5"/>
      <c r="C910" s="5"/>
      <c r="D910" s="9"/>
      <c r="E910" s="6"/>
      <c r="F910" s="6"/>
      <c r="G910" s="78"/>
      <c r="H910" s="78"/>
      <c r="I910" s="16"/>
      <c r="J910" s="16"/>
      <c r="K910" s="5"/>
      <c r="L910" s="5"/>
    </row>
    <row r="911" spans="1:12" ht="15" customHeight="1">
      <c r="A911" s="92"/>
      <c r="B911" s="5"/>
      <c r="C911" s="5"/>
      <c r="D911" s="9"/>
      <c r="E911" s="6"/>
      <c r="F911" s="6"/>
      <c r="G911" s="78"/>
      <c r="H911" s="78"/>
      <c r="I911" s="16"/>
      <c r="J911" s="16"/>
      <c r="K911" s="5"/>
      <c r="L911" s="5"/>
    </row>
    <row r="912" spans="1:12" ht="15" customHeight="1">
      <c r="A912" s="92"/>
      <c r="B912" s="5"/>
      <c r="C912" s="5"/>
      <c r="D912" s="9"/>
      <c r="E912" s="6"/>
      <c r="F912" s="6"/>
      <c r="G912" s="78"/>
      <c r="H912" s="78"/>
      <c r="I912" s="16"/>
      <c r="J912" s="16"/>
      <c r="K912" s="5"/>
      <c r="L912" s="5"/>
    </row>
    <row r="913" spans="1:12" ht="15" customHeight="1">
      <c r="A913" s="92"/>
      <c r="B913" s="5"/>
      <c r="C913" s="5"/>
      <c r="D913" s="9"/>
      <c r="E913" s="6"/>
      <c r="F913" s="6"/>
      <c r="G913" s="78"/>
      <c r="H913" s="78"/>
      <c r="I913" s="16"/>
      <c r="J913" s="16"/>
      <c r="K913" s="5"/>
      <c r="L913" s="5"/>
    </row>
    <row r="914" spans="1:12" ht="15" customHeight="1">
      <c r="A914" s="92"/>
      <c r="B914" s="5"/>
      <c r="C914" s="5"/>
      <c r="D914" s="9"/>
      <c r="E914" s="6"/>
      <c r="F914" s="6"/>
      <c r="G914" s="78"/>
      <c r="H914" s="78"/>
      <c r="I914" s="16"/>
      <c r="J914" s="16"/>
      <c r="K914" s="5"/>
      <c r="L914" s="5"/>
    </row>
    <row r="915" spans="1:12" ht="15" customHeight="1">
      <c r="A915" s="92"/>
      <c r="B915" s="5"/>
      <c r="C915" s="5"/>
      <c r="D915" s="9"/>
      <c r="E915" s="6"/>
      <c r="F915" s="6"/>
      <c r="G915" s="78"/>
      <c r="H915" s="78"/>
      <c r="I915" s="16"/>
      <c r="J915" s="16"/>
      <c r="K915" s="5"/>
      <c r="L915" s="5"/>
    </row>
    <row r="916" spans="1:12" ht="15" customHeight="1">
      <c r="A916" s="92"/>
      <c r="B916" s="5"/>
      <c r="C916" s="5"/>
      <c r="D916" s="9"/>
      <c r="E916" s="6"/>
      <c r="F916" s="6"/>
      <c r="G916" s="78"/>
      <c r="H916" s="78"/>
      <c r="I916" s="16"/>
      <c r="J916" s="16"/>
      <c r="K916" s="5"/>
      <c r="L916" s="5"/>
    </row>
    <row r="917" spans="1:12" ht="15" customHeight="1">
      <c r="A917" s="92"/>
      <c r="B917" s="5"/>
      <c r="C917" s="5"/>
      <c r="D917" s="9"/>
      <c r="E917" s="6"/>
      <c r="F917" s="6"/>
      <c r="G917" s="78"/>
      <c r="H917" s="78"/>
      <c r="I917" s="16"/>
      <c r="J917" s="16"/>
      <c r="K917" s="5"/>
      <c r="L917" s="5"/>
    </row>
    <row r="918" spans="1:12" ht="15" customHeight="1">
      <c r="A918" s="92"/>
      <c r="B918" s="5"/>
      <c r="C918" s="5"/>
      <c r="D918" s="9"/>
      <c r="E918" s="6"/>
      <c r="F918" s="6"/>
      <c r="G918" s="78"/>
      <c r="H918" s="78"/>
      <c r="I918" s="16"/>
      <c r="J918" s="16"/>
      <c r="K918" s="5"/>
      <c r="L918" s="5"/>
    </row>
    <row r="919" spans="1:12" ht="15" customHeight="1">
      <c r="A919" s="92"/>
      <c r="B919" s="5"/>
      <c r="C919" s="5"/>
      <c r="D919" s="9"/>
      <c r="E919" s="6"/>
      <c r="F919" s="6"/>
      <c r="G919" s="78"/>
      <c r="H919" s="78"/>
      <c r="I919" s="16"/>
      <c r="J919" s="16"/>
      <c r="K919" s="5"/>
      <c r="L919" s="5"/>
    </row>
    <row r="920" spans="1:12" ht="15" customHeight="1">
      <c r="A920" s="92"/>
      <c r="B920" s="5"/>
      <c r="C920" s="5"/>
      <c r="D920" s="9"/>
      <c r="E920" s="6"/>
      <c r="F920" s="6"/>
      <c r="G920" s="78"/>
      <c r="H920" s="78"/>
      <c r="I920" s="16"/>
      <c r="J920" s="16"/>
      <c r="K920" s="5"/>
      <c r="L920" s="5"/>
    </row>
    <row r="921" spans="1:12" ht="15" customHeight="1">
      <c r="A921" s="92"/>
      <c r="B921" s="5"/>
      <c r="C921" s="5"/>
      <c r="D921" s="9"/>
      <c r="E921" s="6"/>
      <c r="F921" s="6"/>
      <c r="G921" s="78"/>
      <c r="H921" s="78"/>
      <c r="I921" s="16"/>
      <c r="J921" s="16"/>
      <c r="K921" s="5"/>
      <c r="L921" s="5"/>
    </row>
    <row r="922" spans="1:12" ht="15" customHeight="1">
      <c r="A922" s="92"/>
      <c r="B922" s="5"/>
      <c r="C922" s="5"/>
      <c r="D922" s="9"/>
      <c r="E922" s="6"/>
      <c r="F922" s="6"/>
      <c r="G922" s="78"/>
      <c r="H922" s="78"/>
      <c r="I922" s="16"/>
      <c r="J922" s="16"/>
      <c r="K922" s="5"/>
      <c r="L922" s="5"/>
    </row>
    <row r="923" spans="1:12" ht="15" customHeight="1">
      <c r="A923" s="92"/>
      <c r="B923" s="5"/>
      <c r="C923" s="5"/>
      <c r="D923" s="9"/>
      <c r="E923" s="6"/>
      <c r="F923" s="6"/>
      <c r="G923" s="78"/>
      <c r="H923" s="78"/>
      <c r="I923" s="16"/>
      <c r="J923" s="16"/>
      <c r="K923" s="5"/>
      <c r="L923" s="5"/>
    </row>
    <row r="924" spans="1:12" ht="15" customHeight="1">
      <c r="A924" s="92"/>
      <c r="B924" s="5"/>
      <c r="C924" s="5"/>
      <c r="D924" s="9"/>
      <c r="E924" s="6"/>
      <c r="F924" s="6"/>
      <c r="G924" s="78"/>
      <c r="H924" s="78"/>
      <c r="I924" s="16"/>
      <c r="J924" s="16"/>
      <c r="K924" s="5"/>
      <c r="L924" s="5"/>
    </row>
    <row r="925" spans="1:12" ht="15" customHeight="1">
      <c r="A925" s="92"/>
      <c r="B925" s="5"/>
      <c r="C925" s="5"/>
      <c r="D925" s="9"/>
      <c r="E925" s="6"/>
      <c r="F925" s="6"/>
      <c r="G925" s="78"/>
      <c r="H925" s="78"/>
      <c r="I925" s="16"/>
      <c r="J925" s="16"/>
      <c r="K925" s="5"/>
      <c r="L925" s="5"/>
    </row>
    <row r="926" spans="1:12" ht="15" customHeight="1">
      <c r="A926" s="92"/>
      <c r="B926" s="5"/>
      <c r="C926" s="5"/>
      <c r="D926" s="9"/>
      <c r="E926" s="6"/>
      <c r="F926" s="6"/>
      <c r="G926" s="78"/>
      <c r="H926" s="78"/>
      <c r="I926" s="16"/>
      <c r="J926" s="16"/>
      <c r="K926" s="5"/>
      <c r="L926" s="5"/>
    </row>
    <row r="927" spans="1:12" ht="15" customHeight="1">
      <c r="A927" s="92"/>
      <c r="B927" s="5"/>
      <c r="C927" s="5"/>
      <c r="D927" s="9"/>
      <c r="E927" s="6"/>
      <c r="F927" s="6"/>
      <c r="G927" s="78"/>
      <c r="H927" s="78"/>
      <c r="I927" s="16"/>
      <c r="J927" s="16"/>
      <c r="K927" s="5"/>
      <c r="L927" s="5"/>
    </row>
    <row r="928" spans="1:12" ht="15" customHeight="1">
      <c r="A928" s="92"/>
      <c r="B928" s="5"/>
      <c r="C928" s="5"/>
      <c r="D928" s="9"/>
      <c r="E928" s="6"/>
      <c r="F928" s="6"/>
      <c r="G928" s="78"/>
      <c r="H928" s="78"/>
      <c r="I928" s="16"/>
      <c r="J928" s="16"/>
      <c r="K928" s="5"/>
      <c r="L928" s="5"/>
    </row>
    <row r="929" spans="1:12" ht="15" customHeight="1">
      <c r="A929" s="92"/>
      <c r="B929" s="5"/>
      <c r="C929" s="5"/>
      <c r="D929" s="9"/>
      <c r="E929" s="6"/>
      <c r="F929" s="6"/>
      <c r="G929" s="78"/>
      <c r="H929" s="78"/>
      <c r="I929" s="16"/>
      <c r="J929" s="16"/>
      <c r="K929" s="5"/>
      <c r="L929" s="5"/>
    </row>
    <row r="930" spans="1:12" ht="15" customHeight="1">
      <c r="A930" s="92"/>
      <c r="B930" s="5"/>
      <c r="C930" s="5"/>
      <c r="D930" s="9"/>
      <c r="E930" s="6"/>
      <c r="F930" s="6"/>
      <c r="G930" s="78"/>
      <c r="H930" s="78"/>
      <c r="I930" s="16"/>
      <c r="J930" s="16"/>
      <c r="K930" s="5"/>
      <c r="L930" s="5"/>
    </row>
    <row r="931" spans="1:12" ht="15" customHeight="1">
      <c r="A931" s="92"/>
      <c r="B931" s="5"/>
      <c r="C931" s="5"/>
      <c r="D931" s="9"/>
      <c r="E931" s="6"/>
      <c r="F931" s="6"/>
      <c r="G931" s="78"/>
      <c r="H931" s="78"/>
      <c r="I931" s="16"/>
      <c r="J931" s="16"/>
      <c r="K931" s="5"/>
      <c r="L931" s="5"/>
    </row>
    <row r="932" spans="1:12" ht="15" customHeight="1">
      <c r="A932" s="92"/>
      <c r="B932" s="5"/>
      <c r="C932" s="5"/>
      <c r="D932" s="9"/>
      <c r="E932" s="6"/>
      <c r="F932" s="6"/>
      <c r="G932" s="78"/>
      <c r="H932" s="78"/>
      <c r="I932" s="16"/>
      <c r="J932" s="16"/>
      <c r="K932" s="5"/>
      <c r="L932" s="5"/>
    </row>
    <row r="933" spans="1:12" ht="15" customHeight="1">
      <c r="A933" s="92"/>
      <c r="B933" s="5"/>
      <c r="C933" s="5"/>
      <c r="D933" s="9"/>
      <c r="E933" s="6"/>
      <c r="F933" s="6"/>
      <c r="G933" s="78"/>
      <c r="H933" s="78"/>
      <c r="I933" s="16"/>
      <c r="J933" s="16"/>
      <c r="K933" s="5"/>
      <c r="L933" s="5"/>
    </row>
    <row r="934" spans="1:12" ht="15" customHeight="1">
      <c r="A934" s="92"/>
      <c r="B934" s="5"/>
      <c r="C934" s="5"/>
      <c r="D934" s="9"/>
      <c r="E934" s="6"/>
      <c r="F934" s="6"/>
      <c r="G934" s="78"/>
      <c r="H934" s="78"/>
      <c r="I934" s="16"/>
      <c r="J934" s="16"/>
      <c r="K934" s="5"/>
      <c r="L934" s="5"/>
    </row>
    <row r="935" spans="1:12" ht="15" customHeight="1">
      <c r="A935" s="92"/>
      <c r="B935" s="5"/>
      <c r="C935" s="5"/>
      <c r="D935" s="9"/>
      <c r="E935" s="6"/>
      <c r="F935" s="6"/>
      <c r="G935" s="78"/>
      <c r="H935" s="78"/>
      <c r="I935" s="16"/>
      <c r="J935" s="16"/>
      <c r="K935" s="5"/>
      <c r="L935" s="5"/>
    </row>
    <row r="936" spans="1:12" ht="15" customHeight="1">
      <c r="A936" s="92"/>
      <c r="B936" s="5"/>
      <c r="C936" s="5"/>
      <c r="D936" s="9"/>
      <c r="E936" s="6"/>
      <c r="F936" s="6"/>
      <c r="G936" s="78"/>
      <c r="H936" s="78"/>
      <c r="I936" s="16"/>
      <c r="J936" s="16"/>
      <c r="K936" s="5"/>
      <c r="L936" s="5"/>
    </row>
    <row r="937" spans="1:12" ht="15" customHeight="1">
      <c r="A937" s="92"/>
      <c r="B937" s="5"/>
      <c r="C937" s="5"/>
      <c r="D937" s="9"/>
      <c r="E937" s="6"/>
      <c r="F937" s="6"/>
      <c r="G937" s="78"/>
      <c r="H937" s="78"/>
      <c r="I937" s="16"/>
      <c r="J937" s="16"/>
      <c r="K937" s="5"/>
      <c r="L937" s="5"/>
    </row>
    <row r="938" spans="1:12" ht="15" customHeight="1">
      <c r="A938" s="92"/>
      <c r="B938" s="5"/>
      <c r="C938" s="5"/>
      <c r="D938" s="9"/>
      <c r="E938" s="6"/>
      <c r="F938" s="6"/>
      <c r="G938" s="78"/>
      <c r="H938" s="78"/>
      <c r="I938" s="16"/>
      <c r="J938" s="16"/>
      <c r="K938" s="5"/>
      <c r="L938" s="5"/>
    </row>
    <row r="939" spans="1:12" ht="15" customHeight="1">
      <c r="A939" s="92"/>
      <c r="B939" s="5"/>
      <c r="C939" s="5"/>
      <c r="D939" s="9"/>
      <c r="E939" s="6"/>
      <c r="F939" s="6"/>
      <c r="G939" s="78"/>
      <c r="H939" s="78"/>
      <c r="I939" s="16"/>
      <c r="J939" s="16"/>
      <c r="K939" s="5"/>
      <c r="L939" s="5"/>
    </row>
    <row r="940" spans="1:12" ht="15" customHeight="1">
      <c r="A940" s="92"/>
      <c r="B940" s="5"/>
      <c r="C940" s="5"/>
      <c r="D940" s="9"/>
      <c r="E940" s="6"/>
      <c r="F940" s="6"/>
      <c r="G940" s="78"/>
      <c r="H940" s="78"/>
      <c r="I940" s="16"/>
      <c r="J940" s="16"/>
      <c r="K940" s="5"/>
      <c r="L940" s="5"/>
    </row>
    <row r="941" spans="1:12" ht="15" customHeight="1">
      <c r="A941" s="92"/>
      <c r="B941" s="5"/>
      <c r="C941" s="5"/>
      <c r="D941" s="9"/>
      <c r="E941" s="6"/>
      <c r="F941" s="6"/>
      <c r="G941" s="78"/>
      <c r="H941" s="78"/>
      <c r="I941" s="16"/>
      <c r="J941" s="16"/>
      <c r="K941" s="5"/>
      <c r="L941" s="5"/>
    </row>
    <row r="942" spans="1:12" ht="15" customHeight="1">
      <c r="A942" s="92"/>
      <c r="B942" s="5"/>
      <c r="C942" s="5"/>
      <c r="D942" s="9"/>
      <c r="E942" s="6"/>
      <c r="F942" s="6"/>
      <c r="G942" s="78"/>
      <c r="H942" s="78"/>
      <c r="I942" s="16"/>
      <c r="J942" s="16"/>
      <c r="K942" s="5"/>
      <c r="L942" s="5"/>
    </row>
    <row r="943" spans="1:12" ht="15" customHeight="1">
      <c r="A943" s="92"/>
      <c r="B943" s="5"/>
      <c r="C943" s="5"/>
      <c r="D943" s="9"/>
      <c r="E943" s="6"/>
      <c r="F943" s="6"/>
      <c r="G943" s="78"/>
      <c r="H943" s="78"/>
      <c r="I943" s="16"/>
      <c r="J943" s="16"/>
      <c r="K943" s="5"/>
      <c r="L943" s="5"/>
    </row>
    <row r="944" spans="1:12" ht="15" customHeight="1">
      <c r="A944" s="92"/>
      <c r="B944" s="5"/>
      <c r="C944" s="5"/>
      <c r="D944" s="9"/>
      <c r="E944" s="6"/>
      <c r="F944" s="6"/>
      <c r="G944" s="78"/>
      <c r="H944" s="78"/>
      <c r="I944" s="16"/>
      <c r="J944" s="16"/>
      <c r="K944" s="5"/>
      <c r="L944" s="5"/>
    </row>
    <row r="945" spans="1:12" ht="15" customHeight="1">
      <c r="A945" s="92"/>
      <c r="B945" s="5"/>
      <c r="C945" s="5"/>
      <c r="D945" s="9"/>
      <c r="E945" s="6"/>
      <c r="F945" s="6"/>
      <c r="G945" s="78"/>
      <c r="H945" s="78"/>
      <c r="I945" s="16"/>
      <c r="J945" s="16"/>
      <c r="K945" s="5"/>
      <c r="L945" s="5"/>
    </row>
    <row r="946" spans="1:12" ht="15" customHeight="1">
      <c r="A946" s="92"/>
      <c r="B946" s="5"/>
      <c r="C946" s="5"/>
      <c r="D946" s="9"/>
      <c r="E946" s="6"/>
      <c r="F946" s="6"/>
      <c r="G946" s="78"/>
      <c r="H946" s="78"/>
      <c r="I946" s="16"/>
      <c r="J946" s="16"/>
      <c r="K946" s="5"/>
      <c r="L946" s="5"/>
    </row>
    <row r="947" spans="1:12" ht="15" customHeight="1">
      <c r="A947" s="92"/>
      <c r="B947" s="5"/>
      <c r="C947" s="5"/>
      <c r="D947" s="9"/>
      <c r="E947" s="6"/>
      <c r="F947" s="6"/>
      <c r="G947" s="78"/>
      <c r="H947" s="78"/>
      <c r="I947" s="16"/>
      <c r="J947" s="16"/>
      <c r="K947" s="5"/>
      <c r="L947" s="5"/>
    </row>
    <row r="948" spans="1:12" ht="15" customHeight="1">
      <c r="A948" s="92"/>
      <c r="B948" s="5"/>
      <c r="C948" s="5"/>
      <c r="D948" s="9"/>
      <c r="E948" s="6"/>
      <c r="F948" s="6"/>
      <c r="G948" s="78"/>
      <c r="H948" s="78"/>
      <c r="I948" s="16"/>
      <c r="J948" s="16"/>
      <c r="K948" s="5"/>
      <c r="L948" s="5"/>
    </row>
    <row r="949" spans="1:12" ht="15" customHeight="1">
      <c r="A949" s="92"/>
      <c r="B949" s="5"/>
      <c r="C949" s="5"/>
      <c r="D949" s="9"/>
      <c r="E949" s="6"/>
      <c r="F949" s="6"/>
      <c r="G949" s="78"/>
      <c r="H949" s="78"/>
      <c r="I949" s="16"/>
      <c r="J949" s="16"/>
      <c r="K949" s="5"/>
      <c r="L949" s="5"/>
    </row>
    <row r="950" spans="1:12" ht="15" customHeight="1">
      <c r="A950" s="92"/>
      <c r="B950" s="5"/>
      <c r="C950" s="5"/>
      <c r="D950" s="9"/>
      <c r="E950" s="6"/>
      <c r="F950" s="6"/>
      <c r="G950" s="78"/>
      <c r="H950" s="78"/>
      <c r="I950" s="16"/>
      <c r="J950" s="16"/>
      <c r="K950" s="5"/>
      <c r="L950" s="5"/>
    </row>
    <row r="951" spans="1:12" ht="15" customHeight="1">
      <c r="A951" s="92"/>
      <c r="B951" s="5"/>
      <c r="C951" s="5"/>
      <c r="D951" s="9"/>
      <c r="E951" s="6"/>
      <c r="F951" s="6"/>
      <c r="G951" s="78"/>
      <c r="H951" s="78"/>
      <c r="I951" s="16"/>
      <c r="J951" s="16"/>
      <c r="K951" s="5"/>
      <c r="L951" s="5"/>
    </row>
    <row r="952" spans="1:12" ht="15" customHeight="1">
      <c r="A952" s="92"/>
      <c r="B952" s="5"/>
      <c r="C952" s="5"/>
      <c r="D952" s="9"/>
      <c r="E952" s="6"/>
      <c r="F952" s="6"/>
      <c r="G952" s="78"/>
      <c r="H952" s="78"/>
      <c r="I952" s="16"/>
      <c r="J952" s="16"/>
      <c r="K952" s="5"/>
      <c r="L952" s="5"/>
    </row>
    <row r="953" spans="1:12" ht="15" customHeight="1">
      <c r="A953" s="92"/>
      <c r="B953" s="5"/>
      <c r="C953" s="5"/>
      <c r="D953" s="9"/>
      <c r="E953" s="6"/>
      <c r="F953" s="6"/>
      <c r="G953" s="78"/>
      <c r="H953" s="78"/>
      <c r="I953" s="16"/>
      <c r="J953" s="16"/>
      <c r="K953" s="5"/>
      <c r="L953" s="5"/>
    </row>
    <row r="954" spans="1:12" ht="15" customHeight="1">
      <c r="A954" s="92"/>
      <c r="B954" s="5"/>
      <c r="C954" s="5"/>
      <c r="D954" s="9"/>
      <c r="E954" s="6"/>
      <c r="F954" s="6"/>
      <c r="G954" s="78"/>
      <c r="H954" s="78"/>
      <c r="I954" s="16"/>
      <c r="J954" s="16"/>
      <c r="K954" s="5"/>
      <c r="L954" s="5"/>
    </row>
    <row r="955" spans="1:12" ht="15" customHeight="1">
      <c r="A955" s="92"/>
      <c r="B955" s="5"/>
      <c r="C955" s="5"/>
      <c r="D955" s="9"/>
      <c r="E955" s="6"/>
      <c r="F955" s="6"/>
      <c r="G955" s="78"/>
      <c r="H955" s="78"/>
      <c r="I955" s="16"/>
      <c r="J955" s="16"/>
      <c r="K955" s="5"/>
      <c r="L955" s="5"/>
    </row>
    <row r="956" spans="1:12" ht="15" customHeight="1">
      <c r="A956" s="92"/>
      <c r="B956" s="5"/>
      <c r="C956" s="5"/>
      <c r="D956" s="9"/>
      <c r="E956" s="6"/>
      <c r="F956" s="6"/>
      <c r="G956" s="78"/>
      <c r="H956" s="78"/>
      <c r="I956" s="16"/>
      <c r="J956" s="16"/>
      <c r="K956" s="5"/>
      <c r="L956" s="5"/>
    </row>
    <row r="957" spans="1:12" ht="15" customHeight="1">
      <c r="A957" s="92"/>
      <c r="B957" s="5"/>
      <c r="C957" s="5"/>
      <c r="D957" s="9"/>
      <c r="E957" s="6"/>
      <c r="F957" s="6"/>
      <c r="G957" s="78"/>
      <c r="H957" s="78"/>
      <c r="I957" s="16"/>
      <c r="J957" s="16"/>
      <c r="K957" s="5"/>
      <c r="L957" s="5"/>
    </row>
    <row r="958" spans="1:12" ht="15" customHeight="1">
      <c r="A958" s="92"/>
      <c r="B958" s="5"/>
      <c r="C958" s="5"/>
      <c r="D958" s="9"/>
      <c r="E958" s="6"/>
      <c r="F958" s="6"/>
      <c r="G958" s="78"/>
      <c r="H958" s="78"/>
      <c r="I958" s="16"/>
      <c r="J958" s="16"/>
      <c r="K958" s="5"/>
      <c r="L958" s="5"/>
    </row>
    <row r="959" spans="1:12" ht="15" customHeight="1">
      <c r="A959" s="92"/>
      <c r="B959" s="5"/>
      <c r="C959" s="5"/>
      <c r="D959" s="9"/>
      <c r="E959" s="6"/>
      <c r="F959" s="6"/>
      <c r="G959" s="78"/>
      <c r="H959" s="78"/>
      <c r="I959" s="16"/>
      <c r="J959" s="16"/>
      <c r="K959" s="5"/>
      <c r="L959" s="5"/>
    </row>
    <row r="960" spans="1:12" ht="15" customHeight="1">
      <c r="A960" s="92"/>
      <c r="B960" s="5"/>
      <c r="C960" s="5"/>
      <c r="D960" s="9"/>
      <c r="E960" s="6"/>
      <c r="F960" s="6"/>
      <c r="G960" s="78"/>
      <c r="H960" s="78"/>
      <c r="I960" s="16"/>
      <c r="J960" s="16"/>
      <c r="K960" s="5"/>
      <c r="L960" s="5"/>
    </row>
    <row r="961" spans="1:12" ht="15" customHeight="1">
      <c r="A961" s="92"/>
      <c r="B961" s="5"/>
      <c r="C961" s="5"/>
      <c r="D961" s="9"/>
      <c r="E961" s="6"/>
      <c r="F961" s="6"/>
      <c r="G961" s="78"/>
      <c r="H961" s="78"/>
      <c r="I961" s="16"/>
      <c r="J961" s="16"/>
      <c r="K961" s="5"/>
      <c r="L961" s="5"/>
    </row>
    <row r="962" spans="1:12" ht="15" customHeight="1">
      <c r="A962" s="92"/>
      <c r="B962" s="5"/>
      <c r="C962" s="5"/>
      <c r="D962" s="9"/>
      <c r="E962" s="6"/>
      <c r="F962" s="6"/>
      <c r="G962" s="78"/>
      <c r="H962" s="78"/>
      <c r="I962" s="16"/>
      <c r="J962" s="16"/>
      <c r="K962" s="5"/>
      <c r="L962" s="5"/>
    </row>
    <row r="963" spans="1:12" ht="15" customHeight="1">
      <c r="A963" s="92"/>
      <c r="B963" s="5"/>
      <c r="C963" s="5"/>
      <c r="D963" s="9"/>
      <c r="E963" s="6"/>
      <c r="F963" s="6"/>
      <c r="G963" s="78"/>
      <c r="H963" s="78"/>
      <c r="I963" s="16"/>
      <c r="J963" s="16"/>
      <c r="K963" s="5"/>
      <c r="L963" s="5"/>
    </row>
    <row r="964" spans="1:12" ht="15" customHeight="1">
      <c r="A964" s="92"/>
      <c r="B964" s="5"/>
      <c r="C964" s="5"/>
      <c r="D964" s="9"/>
      <c r="E964" s="6"/>
      <c r="F964" s="6"/>
      <c r="G964" s="78"/>
      <c r="H964" s="78"/>
      <c r="I964" s="16"/>
      <c r="J964" s="16"/>
      <c r="K964" s="5"/>
      <c r="L964" s="5"/>
    </row>
    <row r="965" spans="1:12" ht="15" customHeight="1">
      <c r="A965" s="92"/>
      <c r="B965" s="5"/>
      <c r="C965" s="5"/>
      <c r="D965" s="9"/>
      <c r="E965" s="6"/>
      <c r="F965" s="6"/>
      <c r="G965" s="78"/>
      <c r="H965" s="78"/>
      <c r="I965" s="16"/>
      <c r="J965" s="16"/>
      <c r="K965" s="5"/>
      <c r="L965" s="5"/>
    </row>
    <row r="966" spans="1:12" ht="15" customHeight="1">
      <c r="A966" s="92"/>
      <c r="B966" s="5"/>
      <c r="C966" s="5"/>
      <c r="D966" s="9"/>
      <c r="E966" s="6"/>
      <c r="F966" s="6"/>
      <c r="G966" s="78"/>
      <c r="H966" s="78"/>
      <c r="I966" s="16"/>
      <c r="J966" s="16"/>
      <c r="K966" s="5"/>
      <c r="L966" s="5"/>
    </row>
    <row r="967" spans="1:12" ht="15" customHeight="1">
      <c r="A967" s="92"/>
      <c r="B967" s="5"/>
      <c r="C967" s="5"/>
      <c r="D967" s="9"/>
      <c r="E967" s="6"/>
      <c r="F967" s="6"/>
      <c r="G967" s="78"/>
      <c r="H967" s="78"/>
      <c r="I967" s="16"/>
      <c r="J967" s="16"/>
      <c r="K967" s="5"/>
      <c r="L967" s="5"/>
    </row>
    <row r="968" spans="1:12" ht="15" customHeight="1">
      <c r="A968" s="92"/>
      <c r="B968" s="5"/>
      <c r="C968" s="5"/>
      <c r="D968" s="9"/>
      <c r="E968" s="6"/>
      <c r="F968" s="6"/>
      <c r="G968" s="78"/>
      <c r="H968" s="78"/>
      <c r="I968" s="16"/>
      <c r="J968" s="16"/>
      <c r="K968" s="5"/>
      <c r="L968" s="5"/>
    </row>
    <row r="969" spans="1:12" ht="15" customHeight="1">
      <c r="A969" s="92"/>
      <c r="B969" s="5"/>
      <c r="C969" s="5"/>
      <c r="D969" s="9"/>
      <c r="E969" s="6"/>
      <c r="F969" s="6"/>
      <c r="G969" s="78"/>
      <c r="H969" s="78"/>
      <c r="I969" s="16"/>
      <c r="J969" s="16"/>
      <c r="K969" s="5"/>
      <c r="L969" s="5"/>
    </row>
    <row r="970" spans="1:12" ht="15" customHeight="1">
      <c r="A970" s="92"/>
      <c r="B970" s="5"/>
      <c r="C970" s="5"/>
      <c r="D970" s="9"/>
      <c r="E970" s="6"/>
      <c r="F970" s="6"/>
      <c r="G970" s="78"/>
      <c r="H970" s="78"/>
      <c r="I970" s="16"/>
      <c r="J970" s="16"/>
      <c r="K970" s="5"/>
      <c r="L970" s="5"/>
    </row>
    <row r="971" spans="1:12" ht="15" customHeight="1">
      <c r="A971" s="92"/>
      <c r="B971" s="5"/>
      <c r="C971" s="5"/>
      <c r="D971" s="9"/>
      <c r="E971" s="6"/>
      <c r="F971" s="6"/>
      <c r="G971" s="78"/>
      <c r="H971" s="78"/>
      <c r="I971" s="16"/>
      <c r="J971" s="16"/>
      <c r="K971" s="5"/>
      <c r="L971" s="5"/>
    </row>
    <row r="972" spans="1:12" ht="15" customHeight="1">
      <c r="A972" s="92"/>
      <c r="B972" s="5"/>
      <c r="C972" s="5"/>
      <c r="D972" s="9"/>
      <c r="E972" s="6"/>
      <c r="F972" s="6"/>
      <c r="G972" s="78"/>
      <c r="H972" s="78"/>
      <c r="I972" s="16"/>
      <c r="J972" s="16"/>
      <c r="K972" s="5"/>
      <c r="L972" s="5"/>
    </row>
    <row r="973" spans="1:12" ht="15" customHeight="1">
      <c r="A973" s="92"/>
      <c r="B973" s="5"/>
      <c r="C973" s="5"/>
      <c r="D973" s="9"/>
      <c r="E973" s="6"/>
      <c r="F973" s="6"/>
      <c r="G973" s="78"/>
      <c r="H973" s="78"/>
      <c r="I973" s="16"/>
      <c r="J973" s="16"/>
      <c r="K973" s="5"/>
      <c r="L973" s="5"/>
    </row>
    <row r="974" spans="1:12" ht="15" customHeight="1">
      <c r="A974" s="92"/>
      <c r="B974" s="5"/>
      <c r="C974" s="5"/>
      <c r="D974" s="9"/>
      <c r="E974" s="6"/>
      <c r="F974" s="6"/>
      <c r="G974" s="78"/>
      <c r="H974" s="78"/>
      <c r="I974" s="16"/>
      <c r="J974" s="16"/>
      <c r="K974" s="5"/>
      <c r="L974" s="5"/>
    </row>
    <row r="975" spans="1:12" ht="15" customHeight="1">
      <c r="A975" s="92"/>
      <c r="B975" s="5"/>
      <c r="C975" s="5"/>
      <c r="D975" s="9"/>
      <c r="E975" s="6"/>
      <c r="F975" s="6"/>
      <c r="G975" s="78"/>
      <c r="H975" s="78"/>
      <c r="I975" s="16"/>
      <c r="J975" s="16"/>
      <c r="K975" s="5"/>
      <c r="L975" s="5"/>
    </row>
    <row r="976" spans="1:12" ht="15" customHeight="1">
      <c r="A976" s="92"/>
      <c r="B976" s="5"/>
      <c r="C976" s="5"/>
      <c r="D976" s="9"/>
      <c r="E976" s="6"/>
      <c r="F976" s="6"/>
      <c r="G976" s="78"/>
      <c r="H976" s="78"/>
      <c r="I976" s="16"/>
      <c r="J976" s="16"/>
      <c r="K976" s="5"/>
      <c r="L976" s="5"/>
    </row>
    <row r="977" spans="1:12" ht="15" customHeight="1">
      <c r="A977" s="92"/>
      <c r="B977" s="5"/>
      <c r="C977" s="5"/>
      <c r="D977" s="9"/>
      <c r="E977" s="6"/>
      <c r="F977" s="6"/>
      <c r="G977" s="78"/>
      <c r="H977" s="78"/>
      <c r="I977" s="16"/>
      <c r="J977" s="16"/>
      <c r="K977" s="5"/>
      <c r="L977" s="5"/>
    </row>
    <row r="978" spans="1:12" ht="15" customHeight="1">
      <c r="A978" s="92"/>
      <c r="B978" s="5"/>
      <c r="C978" s="5"/>
      <c r="D978" s="9"/>
      <c r="E978" s="6"/>
      <c r="F978" s="6"/>
      <c r="G978" s="78"/>
      <c r="H978" s="78"/>
      <c r="I978" s="16"/>
      <c r="J978" s="16"/>
      <c r="K978" s="5"/>
      <c r="L978" s="5"/>
    </row>
    <row r="979" spans="1:12" ht="15" customHeight="1">
      <c r="A979" s="92"/>
      <c r="B979" s="5"/>
      <c r="C979" s="5"/>
      <c r="D979" s="9"/>
      <c r="E979" s="6"/>
      <c r="F979" s="6"/>
      <c r="G979" s="78"/>
      <c r="H979" s="78"/>
      <c r="I979" s="16"/>
      <c r="J979" s="16"/>
      <c r="K979" s="5"/>
      <c r="L979" s="5"/>
    </row>
    <row r="980" spans="1:12" ht="15" customHeight="1">
      <c r="A980" s="92"/>
      <c r="B980" s="5"/>
      <c r="C980" s="5"/>
      <c r="D980" s="9"/>
      <c r="E980" s="6"/>
      <c r="F980" s="6"/>
      <c r="G980" s="78"/>
      <c r="H980" s="78"/>
      <c r="I980" s="16"/>
      <c r="J980" s="16"/>
      <c r="K980" s="5"/>
      <c r="L980" s="5"/>
    </row>
    <row r="981" spans="1:12" ht="15" customHeight="1">
      <c r="A981" s="92"/>
      <c r="B981" s="5"/>
      <c r="C981" s="5"/>
      <c r="D981" s="9"/>
      <c r="E981" s="6"/>
      <c r="F981" s="6"/>
      <c r="G981" s="78"/>
      <c r="H981" s="78"/>
      <c r="I981" s="16"/>
      <c r="J981" s="16"/>
      <c r="K981" s="5"/>
      <c r="L981" s="5"/>
    </row>
    <row r="982" spans="1:12" ht="15" customHeight="1">
      <c r="A982" s="92"/>
      <c r="B982" s="5"/>
      <c r="C982" s="5"/>
      <c r="D982" s="9"/>
      <c r="E982" s="6"/>
      <c r="F982" s="6"/>
      <c r="G982" s="78"/>
      <c r="H982" s="78"/>
      <c r="I982" s="16"/>
      <c r="J982" s="16"/>
      <c r="K982" s="5"/>
      <c r="L982" s="5"/>
    </row>
    <row r="983" spans="1:12" ht="15" customHeight="1">
      <c r="A983" s="92"/>
      <c r="B983" s="5"/>
      <c r="C983" s="5"/>
      <c r="D983" s="9"/>
      <c r="E983" s="6"/>
      <c r="F983" s="6"/>
      <c r="G983" s="78"/>
      <c r="H983" s="78"/>
      <c r="I983" s="16"/>
      <c r="J983" s="16"/>
      <c r="K983" s="5"/>
      <c r="L983" s="5"/>
    </row>
    <row r="984" spans="1:12" ht="15" customHeight="1">
      <c r="A984" s="92"/>
      <c r="B984" s="5"/>
      <c r="C984" s="5"/>
      <c r="D984" s="9"/>
      <c r="E984" s="6"/>
      <c r="F984" s="6"/>
      <c r="G984" s="78"/>
      <c r="H984" s="78"/>
      <c r="I984" s="16"/>
      <c r="J984" s="16"/>
      <c r="K984" s="5"/>
      <c r="L984" s="5"/>
    </row>
    <row r="985" spans="1:12" ht="15" customHeight="1">
      <c r="A985" s="92"/>
      <c r="B985" s="5"/>
      <c r="C985" s="5"/>
      <c r="D985" s="9"/>
      <c r="E985" s="6"/>
      <c r="F985" s="6"/>
      <c r="G985" s="78"/>
      <c r="H985" s="78"/>
      <c r="I985" s="16"/>
      <c r="J985" s="16"/>
      <c r="K985" s="5"/>
      <c r="L985" s="5"/>
    </row>
    <row r="986" spans="1:12" ht="15" customHeight="1">
      <c r="A986" s="92"/>
      <c r="B986" s="5"/>
      <c r="C986" s="5"/>
      <c r="D986" s="9"/>
      <c r="E986" s="6"/>
      <c r="F986" s="6"/>
      <c r="G986" s="78"/>
      <c r="H986" s="78"/>
      <c r="I986" s="16"/>
      <c r="J986" s="16"/>
      <c r="K986" s="5"/>
      <c r="L986" s="5"/>
    </row>
    <row r="987" spans="1:12" ht="15" customHeight="1">
      <c r="A987" s="92"/>
      <c r="B987" s="5"/>
      <c r="C987" s="5"/>
      <c r="D987" s="9"/>
      <c r="E987" s="6"/>
      <c r="F987" s="6"/>
      <c r="G987" s="78"/>
      <c r="H987" s="78"/>
      <c r="I987" s="16"/>
      <c r="J987" s="16"/>
      <c r="K987" s="5"/>
      <c r="L987" s="5"/>
    </row>
    <row r="988" spans="1:12" ht="15" customHeight="1">
      <c r="A988" s="92"/>
      <c r="B988" s="5"/>
      <c r="C988" s="5"/>
      <c r="D988" s="9"/>
      <c r="E988" s="6"/>
      <c r="F988" s="6"/>
      <c r="G988" s="78"/>
      <c r="H988" s="78"/>
      <c r="I988" s="16"/>
      <c r="J988" s="16"/>
      <c r="K988" s="5"/>
      <c r="L988" s="5"/>
    </row>
    <row r="989" spans="1:12" ht="15" customHeight="1">
      <c r="A989" s="92"/>
      <c r="B989" s="5"/>
      <c r="C989" s="5"/>
      <c r="D989" s="9"/>
      <c r="E989" s="6"/>
      <c r="F989" s="6"/>
      <c r="G989" s="78"/>
      <c r="H989" s="78"/>
      <c r="I989" s="16"/>
      <c r="J989" s="16"/>
      <c r="K989" s="5"/>
      <c r="L989" s="5"/>
    </row>
    <row r="990" spans="1:12" ht="15" customHeight="1">
      <c r="A990" s="92"/>
      <c r="B990" s="5"/>
      <c r="C990" s="5"/>
      <c r="D990" s="9"/>
      <c r="E990" s="6"/>
      <c r="F990" s="6"/>
      <c r="G990" s="78"/>
      <c r="H990" s="78"/>
      <c r="I990" s="16"/>
      <c r="J990" s="16"/>
      <c r="K990" s="5"/>
      <c r="L990" s="5"/>
    </row>
    <row r="991" spans="1:12" ht="15" customHeight="1">
      <c r="A991" s="92"/>
      <c r="B991" s="5"/>
      <c r="C991" s="5"/>
      <c r="D991" s="9"/>
      <c r="E991" s="6"/>
      <c r="F991" s="6"/>
      <c r="G991" s="78"/>
      <c r="H991" s="78"/>
      <c r="I991" s="16"/>
      <c r="J991" s="16"/>
      <c r="K991" s="5"/>
      <c r="L991" s="5"/>
    </row>
    <row r="992" spans="1:12" ht="15" customHeight="1">
      <c r="A992" s="92"/>
      <c r="B992" s="5"/>
      <c r="C992" s="5"/>
      <c r="D992" s="9"/>
      <c r="E992" s="6"/>
      <c r="F992" s="6"/>
      <c r="G992" s="78"/>
      <c r="H992" s="78"/>
      <c r="I992" s="16"/>
      <c r="J992" s="16"/>
      <c r="K992" s="5"/>
      <c r="L992" s="5"/>
    </row>
    <row r="993" spans="1:12" ht="15" customHeight="1">
      <c r="A993" s="92"/>
      <c r="B993" s="5"/>
      <c r="C993" s="5"/>
      <c r="D993" s="9"/>
      <c r="E993" s="6"/>
      <c r="F993" s="6"/>
      <c r="G993" s="78"/>
      <c r="H993" s="78"/>
      <c r="I993" s="16"/>
      <c r="J993" s="16"/>
      <c r="K993" s="5"/>
      <c r="L993" s="5"/>
    </row>
    <row r="994" spans="1:12" ht="15" customHeight="1">
      <c r="A994" s="92"/>
      <c r="B994" s="5"/>
      <c r="C994" s="5"/>
      <c r="D994" s="9"/>
      <c r="E994" s="6"/>
      <c r="F994" s="6"/>
      <c r="G994" s="78"/>
      <c r="H994" s="78"/>
      <c r="I994" s="16"/>
      <c r="J994" s="16"/>
      <c r="K994" s="5"/>
      <c r="L994" s="5"/>
    </row>
    <row r="995" spans="1:12" ht="15" customHeight="1">
      <c r="A995" s="92"/>
      <c r="B995" s="5"/>
      <c r="C995" s="5"/>
      <c r="D995" s="9"/>
      <c r="E995" s="6"/>
      <c r="F995" s="6"/>
      <c r="G995" s="78"/>
      <c r="H995" s="78"/>
      <c r="I995" s="16"/>
      <c r="J995" s="16"/>
      <c r="K995" s="5"/>
      <c r="L995" s="5"/>
    </row>
    <row r="996" spans="1:12" ht="15" customHeight="1">
      <c r="A996" s="92"/>
      <c r="B996" s="5"/>
      <c r="C996" s="5"/>
      <c r="D996" s="9"/>
      <c r="E996" s="6"/>
      <c r="F996" s="6"/>
      <c r="G996" s="78"/>
      <c r="H996" s="78"/>
      <c r="I996" s="16"/>
      <c r="J996" s="16"/>
      <c r="K996" s="5"/>
      <c r="L996" s="5"/>
    </row>
    <row r="997" spans="1:12" ht="15" customHeight="1">
      <c r="A997" s="92"/>
      <c r="B997" s="5"/>
      <c r="C997" s="5"/>
      <c r="D997" s="9"/>
      <c r="E997" s="6"/>
      <c r="F997" s="6"/>
      <c r="G997" s="78"/>
      <c r="H997" s="78"/>
      <c r="I997" s="16"/>
      <c r="J997" s="16"/>
      <c r="K997" s="5"/>
      <c r="L997" s="5"/>
    </row>
    <row r="998" spans="1:12" ht="15" customHeight="1">
      <c r="A998" s="92"/>
      <c r="B998" s="5"/>
      <c r="C998" s="5"/>
      <c r="D998" s="9"/>
      <c r="E998" s="6"/>
      <c r="F998" s="6"/>
      <c r="G998" s="78"/>
      <c r="H998" s="78"/>
      <c r="I998" s="16"/>
      <c r="J998" s="16"/>
      <c r="K998" s="5"/>
      <c r="L998" s="5"/>
    </row>
    <row r="999" spans="1:12" ht="15" customHeight="1">
      <c r="A999" s="92"/>
      <c r="B999" s="5"/>
      <c r="C999" s="5"/>
      <c r="D999" s="9"/>
      <c r="E999" s="6"/>
      <c r="F999" s="6"/>
      <c r="G999" s="78"/>
      <c r="H999" s="78"/>
      <c r="I999" s="16"/>
      <c r="J999" s="16"/>
      <c r="K999" s="5"/>
      <c r="L999" s="5"/>
    </row>
    <row r="1000" spans="1:12" ht="15" customHeight="1">
      <c r="A1000" s="92"/>
      <c r="B1000" s="5"/>
      <c r="C1000" s="5"/>
      <c r="D1000" s="9"/>
      <c r="E1000" s="6"/>
      <c r="F1000" s="6"/>
      <c r="G1000" s="78"/>
      <c r="H1000" s="78"/>
      <c r="I1000" s="16"/>
      <c r="J1000" s="16"/>
      <c r="K1000" s="5"/>
      <c r="L1000" s="5"/>
    </row>
    <row r="1001" spans="1:12" ht="15" customHeight="1">
      <c r="A1001" s="92"/>
      <c r="B1001" s="5"/>
      <c r="C1001" s="5"/>
      <c r="D1001" s="9"/>
      <c r="E1001" s="6"/>
      <c r="F1001" s="6"/>
      <c r="G1001" s="78"/>
      <c r="H1001" s="78"/>
      <c r="I1001" s="16"/>
      <c r="J1001" s="16"/>
      <c r="K1001" s="5"/>
      <c r="L1001" s="5"/>
    </row>
    <row r="1002" spans="1:12" ht="15" customHeight="1">
      <c r="A1002" s="92"/>
      <c r="B1002" s="5"/>
      <c r="C1002" s="5"/>
      <c r="D1002" s="9"/>
      <c r="E1002" s="6"/>
      <c r="F1002" s="6"/>
      <c r="G1002" s="78"/>
      <c r="H1002" s="78"/>
      <c r="I1002" s="16"/>
      <c r="J1002" s="16"/>
      <c r="K1002" s="5"/>
      <c r="L1002" s="5"/>
    </row>
    <row r="1003" spans="1:12" ht="15" customHeight="1">
      <c r="A1003" s="92"/>
      <c r="B1003" s="5"/>
      <c r="C1003" s="5"/>
      <c r="D1003" s="9"/>
      <c r="E1003" s="6"/>
      <c r="F1003" s="6"/>
      <c r="G1003" s="78"/>
      <c r="H1003" s="78"/>
      <c r="I1003" s="16"/>
      <c r="J1003" s="16"/>
      <c r="K1003" s="5"/>
      <c r="L1003" s="5"/>
    </row>
    <row r="1004" spans="1:12" ht="15" customHeight="1">
      <c r="A1004" s="92"/>
      <c r="B1004" s="5"/>
      <c r="C1004" s="5"/>
      <c r="D1004" s="9"/>
      <c r="E1004" s="6"/>
      <c r="F1004" s="6"/>
      <c r="G1004" s="78"/>
      <c r="H1004" s="78"/>
      <c r="I1004" s="16"/>
      <c r="J1004" s="16"/>
      <c r="K1004" s="5"/>
      <c r="L1004" s="5"/>
    </row>
    <row r="1005" spans="1:12" ht="15" customHeight="1">
      <c r="A1005" s="92"/>
      <c r="B1005" s="5"/>
      <c r="C1005" s="5"/>
      <c r="D1005" s="9"/>
      <c r="E1005" s="6"/>
      <c r="F1005" s="6"/>
      <c r="G1005" s="78"/>
      <c r="H1005" s="78"/>
      <c r="I1005" s="16"/>
      <c r="J1005" s="16"/>
      <c r="K1005" s="5"/>
      <c r="L1005" s="5"/>
    </row>
    <row r="1006" spans="1:12" ht="15" customHeight="1">
      <c r="A1006" s="92"/>
      <c r="B1006" s="5"/>
      <c r="C1006" s="5"/>
      <c r="D1006" s="9"/>
      <c r="E1006" s="6"/>
      <c r="F1006" s="6"/>
      <c r="G1006" s="78"/>
      <c r="H1006" s="78"/>
      <c r="I1006" s="16"/>
      <c r="J1006" s="16"/>
      <c r="K1006" s="5"/>
      <c r="L1006" s="5"/>
    </row>
    <row r="1007" spans="1:12" ht="15" customHeight="1">
      <c r="A1007" s="92"/>
      <c r="B1007" s="5"/>
      <c r="C1007" s="5"/>
      <c r="D1007" s="9"/>
      <c r="E1007" s="6"/>
      <c r="F1007" s="6"/>
      <c r="G1007" s="78"/>
      <c r="H1007" s="78"/>
      <c r="I1007" s="16"/>
      <c r="J1007" s="16"/>
      <c r="K1007" s="5"/>
      <c r="L1007" s="5"/>
    </row>
    <row r="1008" spans="1:12" ht="15" customHeight="1">
      <c r="A1008" s="92"/>
      <c r="B1008" s="5"/>
      <c r="C1008" s="5"/>
      <c r="D1008" s="9"/>
      <c r="E1008" s="6"/>
      <c r="F1008" s="6"/>
      <c r="G1008" s="78"/>
      <c r="H1008" s="78"/>
      <c r="I1008" s="16"/>
      <c r="J1008" s="16"/>
      <c r="K1008" s="5"/>
      <c r="L1008" s="5"/>
    </row>
    <row r="1009" spans="1:12" ht="15" customHeight="1">
      <c r="A1009" s="92"/>
      <c r="B1009" s="5"/>
      <c r="C1009" s="5"/>
      <c r="D1009" s="9"/>
      <c r="E1009" s="6"/>
      <c r="F1009" s="6"/>
      <c r="G1009" s="78"/>
      <c r="H1009" s="78"/>
      <c r="I1009" s="16"/>
      <c r="J1009" s="16"/>
      <c r="K1009" s="5"/>
      <c r="L1009" s="5"/>
    </row>
    <row r="1010" spans="1:12" ht="15" customHeight="1">
      <c r="A1010" s="92"/>
      <c r="B1010" s="5"/>
      <c r="C1010" s="5"/>
      <c r="D1010" s="9"/>
      <c r="E1010" s="6"/>
      <c r="F1010" s="6"/>
      <c r="G1010" s="78"/>
      <c r="H1010" s="78"/>
      <c r="I1010" s="16"/>
      <c r="J1010" s="16"/>
      <c r="K1010" s="5"/>
      <c r="L1010" s="5"/>
    </row>
    <row r="1011" spans="1:12" ht="15" customHeight="1">
      <c r="A1011" s="92"/>
      <c r="B1011" s="5"/>
      <c r="C1011" s="5"/>
      <c r="D1011" s="9"/>
      <c r="E1011" s="6"/>
      <c r="F1011" s="6"/>
      <c r="G1011" s="78"/>
      <c r="H1011" s="78"/>
      <c r="I1011" s="16"/>
      <c r="J1011" s="16"/>
      <c r="K1011" s="5"/>
      <c r="L1011" s="5"/>
    </row>
    <row r="1012" spans="1:12" ht="15" customHeight="1">
      <c r="A1012" s="92"/>
      <c r="B1012" s="5"/>
      <c r="C1012" s="5"/>
      <c r="D1012" s="9"/>
      <c r="E1012" s="6"/>
      <c r="F1012" s="6"/>
      <c r="G1012" s="78"/>
      <c r="H1012" s="78"/>
      <c r="I1012" s="16"/>
      <c r="J1012" s="16"/>
      <c r="K1012" s="5"/>
      <c r="L1012" s="5"/>
    </row>
    <row r="1013" spans="1:12" ht="15" customHeight="1">
      <c r="A1013" s="92"/>
      <c r="B1013" s="5"/>
      <c r="C1013" s="5"/>
      <c r="D1013" s="9"/>
      <c r="E1013" s="6"/>
      <c r="F1013" s="6"/>
      <c r="G1013" s="78"/>
      <c r="H1013" s="78"/>
      <c r="I1013" s="16"/>
      <c r="J1013" s="16"/>
      <c r="K1013" s="5"/>
      <c r="L1013" s="5"/>
    </row>
    <row r="1014" spans="1:12" ht="15" customHeight="1">
      <c r="A1014" s="92"/>
      <c r="B1014" s="5"/>
      <c r="C1014" s="5"/>
      <c r="D1014" s="9"/>
      <c r="E1014" s="6"/>
      <c r="F1014" s="6"/>
      <c r="G1014" s="78"/>
      <c r="H1014" s="78"/>
      <c r="I1014" s="16"/>
      <c r="J1014" s="16"/>
      <c r="K1014" s="5"/>
      <c r="L1014" s="5"/>
    </row>
    <row r="1015" spans="1:12" ht="15" customHeight="1">
      <c r="A1015" s="92"/>
      <c r="B1015" s="5"/>
      <c r="C1015" s="5"/>
      <c r="D1015" s="9"/>
      <c r="E1015" s="6"/>
      <c r="F1015" s="6"/>
      <c r="G1015" s="78"/>
      <c r="H1015" s="78"/>
      <c r="I1015" s="16"/>
      <c r="J1015" s="16"/>
      <c r="K1015" s="5"/>
      <c r="L1015" s="5"/>
    </row>
    <row r="1016" spans="1:12" ht="15" customHeight="1">
      <c r="A1016" s="92"/>
      <c r="B1016" s="5"/>
      <c r="C1016" s="5"/>
      <c r="D1016" s="9"/>
      <c r="E1016" s="6"/>
      <c r="F1016" s="6"/>
      <c r="G1016" s="78"/>
      <c r="H1016" s="78"/>
      <c r="I1016" s="16"/>
      <c r="J1016" s="16"/>
      <c r="K1016" s="5"/>
      <c r="L1016" s="5"/>
    </row>
    <row r="1017" spans="1:12" ht="15" customHeight="1">
      <c r="A1017" s="92"/>
      <c r="B1017" s="5"/>
      <c r="C1017" s="5"/>
      <c r="D1017" s="9"/>
      <c r="E1017" s="6"/>
      <c r="F1017" s="6"/>
      <c r="G1017" s="78"/>
      <c r="H1017" s="78"/>
      <c r="I1017" s="16"/>
      <c r="J1017" s="16"/>
      <c r="K1017" s="5"/>
      <c r="L1017" s="5"/>
    </row>
    <row r="1018" spans="1:12" ht="15" customHeight="1">
      <c r="A1018" s="92"/>
      <c r="B1018" s="5"/>
      <c r="C1018" s="5"/>
      <c r="D1018" s="9"/>
      <c r="E1018" s="6"/>
      <c r="F1018" s="6"/>
      <c r="G1018" s="78"/>
      <c r="H1018" s="78"/>
      <c r="I1018" s="16"/>
      <c r="J1018" s="16"/>
      <c r="K1018" s="5"/>
      <c r="L1018" s="5"/>
    </row>
    <row r="1019" spans="1:12" ht="15" customHeight="1">
      <c r="A1019" s="92"/>
      <c r="B1019" s="5"/>
      <c r="C1019" s="5"/>
      <c r="D1019" s="9"/>
      <c r="E1019" s="6"/>
      <c r="F1019" s="6"/>
      <c r="G1019" s="78"/>
      <c r="H1019" s="78"/>
      <c r="I1019" s="16"/>
      <c r="J1019" s="16"/>
      <c r="K1019" s="5"/>
      <c r="L1019" s="5"/>
    </row>
    <row r="1020" spans="1:12" ht="15" customHeight="1">
      <c r="A1020" s="92"/>
      <c r="B1020" s="5"/>
      <c r="C1020" s="5"/>
      <c r="D1020" s="9"/>
      <c r="E1020" s="6"/>
      <c r="F1020" s="6"/>
      <c r="G1020" s="78"/>
      <c r="H1020" s="78"/>
      <c r="I1020" s="16"/>
      <c r="J1020" s="16"/>
      <c r="K1020" s="5"/>
      <c r="L1020" s="5"/>
    </row>
    <row r="1021" spans="1:12" ht="15" customHeight="1">
      <c r="A1021" s="92"/>
      <c r="B1021" s="5"/>
      <c r="C1021" s="5"/>
      <c r="D1021" s="9"/>
      <c r="E1021" s="6"/>
      <c r="F1021" s="6"/>
      <c r="G1021" s="78"/>
      <c r="H1021" s="78"/>
      <c r="I1021" s="16"/>
      <c r="J1021" s="16"/>
      <c r="K1021" s="5"/>
      <c r="L1021" s="5"/>
    </row>
    <row r="1022" spans="1:12" ht="15" customHeight="1">
      <c r="A1022" s="92"/>
      <c r="B1022" s="5"/>
      <c r="C1022" s="5"/>
      <c r="D1022" s="9"/>
      <c r="E1022" s="6"/>
      <c r="F1022" s="6"/>
      <c r="G1022" s="78"/>
      <c r="H1022" s="78"/>
      <c r="I1022" s="16"/>
      <c r="J1022" s="16"/>
      <c r="K1022" s="5"/>
      <c r="L1022" s="5"/>
    </row>
    <row r="1023" spans="1:12" ht="15" customHeight="1">
      <c r="A1023" s="92"/>
      <c r="B1023" s="5"/>
      <c r="C1023" s="5"/>
      <c r="D1023" s="9"/>
      <c r="E1023" s="6"/>
      <c r="F1023" s="6"/>
      <c r="G1023" s="78"/>
      <c r="H1023" s="78"/>
      <c r="I1023" s="16"/>
      <c r="J1023" s="16"/>
      <c r="K1023" s="5"/>
      <c r="L1023" s="5"/>
    </row>
    <row r="1024" spans="1:12" ht="15" customHeight="1">
      <c r="A1024" s="92"/>
      <c r="B1024" s="5"/>
      <c r="C1024" s="5"/>
      <c r="D1024" s="9"/>
      <c r="E1024" s="6"/>
      <c r="F1024" s="6"/>
      <c r="G1024" s="78"/>
      <c r="H1024" s="78"/>
      <c r="I1024" s="16"/>
      <c r="J1024" s="16"/>
      <c r="K1024" s="5"/>
      <c r="L1024" s="5"/>
    </row>
    <row r="1025" spans="1:12" ht="15" customHeight="1">
      <c r="A1025" s="92"/>
      <c r="B1025" s="5"/>
      <c r="C1025" s="5"/>
      <c r="D1025" s="9"/>
      <c r="E1025" s="6"/>
      <c r="F1025" s="6"/>
      <c r="G1025" s="78"/>
      <c r="H1025" s="78"/>
      <c r="I1025" s="16"/>
      <c r="J1025" s="16"/>
      <c r="K1025" s="5"/>
      <c r="L1025" s="5"/>
    </row>
    <row r="1026" spans="1:12" ht="15" customHeight="1">
      <c r="A1026" s="92"/>
      <c r="B1026" s="5"/>
      <c r="C1026" s="5"/>
      <c r="D1026" s="9"/>
      <c r="E1026" s="6"/>
      <c r="F1026" s="6"/>
      <c r="G1026" s="78"/>
      <c r="H1026" s="78"/>
      <c r="I1026" s="16"/>
      <c r="J1026" s="16"/>
      <c r="K1026" s="5"/>
      <c r="L1026" s="5"/>
    </row>
    <row r="1027" spans="1:12" ht="15" customHeight="1">
      <c r="A1027" s="92"/>
      <c r="B1027" s="5"/>
      <c r="C1027" s="5"/>
      <c r="D1027" s="9"/>
      <c r="E1027" s="6"/>
      <c r="F1027" s="6"/>
      <c r="G1027" s="78"/>
      <c r="H1027" s="78"/>
      <c r="I1027" s="16"/>
      <c r="J1027" s="16"/>
      <c r="K1027" s="5"/>
      <c r="L1027" s="5"/>
    </row>
    <row r="1028" spans="1:12" ht="15" customHeight="1">
      <c r="A1028" s="92"/>
      <c r="B1028" s="5"/>
      <c r="C1028" s="5"/>
      <c r="D1028" s="9"/>
      <c r="E1028" s="6"/>
      <c r="F1028" s="6"/>
      <c r="G1028" s="78"/>
      <c r="H1028" s="78"/>
      <c r="I1028" s="16"/>
      <c r="J1028" s="16"/>
      <c r="K1028" s="5"/>
      <c r="L1028" s="5"/>
    </row>
    <row r="1029" spans="1:12" ht="15" customHeight="1">
      <c r="A1029" s="92"/>
      <c r="B1029" s="5"/>
      <c r="C1029" s="5"/>
      <c r="D1029" s="9"/>
      <c r="E1029" s="6"/>
      <c r="F1029" s="6"/>
      <c r="G1029" s="78"/>
      <c r="H1029" s="78"/>
      <c r="I1029" s="16"/>
      <c r="J1029" s="16"/>
      <c r="K1029" s="5"/>
      <c r="L1029" s="5"/>
    </row>
    <row r="1030" spans="1:12" ht="15" customHeight="1">
      <c r="A1030" s="92"/>
      <c r="B1030" s="5"/>
      <c r="C1030" s="5"/>
      <c r="D1030" s="9"/>
      <c r="E1030" s="6"/>
      <c r="F1030" s="6"/>
      <c r="G1030" s="78"/>
      <c r="H1030" s="78"/>
      <c r="I1030" s="16"/>
      <c r="J1030" s="16"/>
      <c r="K1030" s="5"/>
      <c r="L1030" s="5"/>
    </row>
    <row r="1031" spans="1:12" ht="15" customHeight="1">
      <c r="A1031" s="92"/>
      <c r="B1031" s="5"/>
      <c r="C1031" s="5"/>
      <c r="D1031" s="9"/>
      <c r="E1031" s="6"/>
      <c r="F1031" s="6"/>
      <c r="G1031" s="78"/>
      <c r="H1031" s="78"/>
      <c r="I1031" s="16"/>
      <c r="J1031" s="16"/>
      <c r="K1031" s="5"/>
      <c r="L1031" s="5"/>
    </row>
    <row r="1032" spans="1:12" ht="15" customHeight="1">
      <c r="A1032" s="92"/>
      <c r="B1032" s="5"/>
      <c r="C1032" s="5"/>
      <c r="D1032" s="9"/>
      <c r="E1032" s="6"/>
      <c r="F1032" s="6"/>
      <c r="G1032" s="78"/>
      <c r="H1032" s="78"/>
      <c r="I1032" s="16"/>
      <c r="J1032" s="16"/>
      <c r="K1032" s="5"/>
      <c r="L1032" s="5"/>
    </row>
    <row r="1033" spans="1:12" ht="15" customHeight="1">
      <c r="A1033" s="92"/>
      <c r="B1033" s="5"/>
      <c r="C1033" s="5"/>
      <c r="D1033" s="9"/>
      <c r="E1033" s="6"/>
      <c r="F1033" s="6"/>
      <c r="G1033" s="78"/>
      <c r="H1033" s="78"/>
      <c r="I1033" s="16"/>
      <c r="J1033" s="16"/>
      <c r="K1033" s="5"/>
      <c r="L1033" s="5"/>
    </row>
    <row r="1034" spans="1:12" ht="15" customHeight="1">
      <c r="A1034" s="92"/>
      <c r="B1034" s="5"/>
      <c r="C1034" s="5"/>
      <c r="D1034" s="9"/>
      <c r="E1034" s="6"/>
      <c r="F1034" s="6"/>
      <c r="G1034" s="78"/>
      <c r="H1034" s="78"/>
      <c r="I1034" s="16"/>
      <c r="J1034" s="16"/>
      <c r="K1034" s="5"/>
      <c r="L1034" s="5"/>
    </row>
    <row r="1035" spans="1:12" ht="15" customHeight="1">
      <c r="A1035" s="92"/>
      <c r="B1035" s="5"/>
      <c r="C1035" s="5"/>
      <c r="D1035" s="9"/>
      <c r="E1035" s="6"/>
      <c r="F1035" s="6"/>
      <c r="G1035" s="78"/>
      <c r="H1035" s="78"/>
      <c r="I1035" s="16"/>
      <c r="J1035" s="16"/>
      <c r="K1035" s="5"/>
      <c r="L1035" s="5"/>
    </row>
    <row r="1036" spans="1:12" ht="15" customHeight="1">
      <c r="A1036" s="92"/>
      <c r="B1036" s="5"/>
      <c r="C1036" s="5"/>
      <c r="D1036" s="9"/>
      <c r="E1036" s="6"/>
      <c r="F1036" s="6"/>
      <c r="G1036" s="78"/>
      <c r="H1036" s="78"/>
      <c r="I1036" s="16"/>
      <c r="J1036" s="16"/>
      <c r="K1036" s="5"/>
      <c r="L1036" s="5"/>
    </row>
    <row r="1037" spans="1:12" ht="15" customHeight="1">
      <c r="A1037" s="92"/>
      <c r="B1037" s="5"/>
      <c r="C1037" s="5"/>
      <c r="D1037" s="9"/>
      <c r="E1037" s="6"/>
      <c r="F1037" s="6"/>
      <c r="G1037" s="78"/>
      <c r="H1037" s="78"/>
      <c r="I1037" s="16"/>
      <c r="J1037" s="16"/>
      <c r="K1037" s="5"/>
      <c r="L1037" s="5"/>
    </row>
    <row r="1038" spans="1:12" ht="15" customHeight="1">
      <c r="A1038" s="92"/>
      <c r="B1038" s="5"/>
      <c r="C1038" s="5"/>
      <c r="D1038" s="9"/>
      <c r="E1038" s="6"/>
      <c r="F1038" s="6"/>
      <c r="G1038" s="78"/>
      <c r="H1038" s="78"/>
      <c r="I1038" s="16"/>
      <c r="J1038" s="16"/>
      <c r="K1038" s="5"/>
      <c r="L1038" s="5"/>
    </row>
    <row r="1039" spans="1:12" ht="15" customHeight="1">
      <c r="A1039" s="92"/>
      <c r="B1039" s="5"/>
      <c r="C1039" s="5"/>
      <c r="D1039" s="9"/>
      <c r="E1039" s="6"/>
      <c r="F1039" s="6"/>
      <c r="G1039" s="78"/>
      <c r="H1039" s="78"/>
      <c r="I1039" s="16"/>
      <c r="J1039" s="16"/>
      <c r="K1039" s="5"/>
      <c r="L1039" s="5"/>
    </row>
    <row r="1040" spans="1:12" ht="15" customHeight="1">
      <c r="A1040" s="92"/>
      <c r="B1040" s="5"/>
      <c r="C1040" s="5"/>
      <c r="D1040" s="9"/>
      <c r="E1040" s="6"/>
      <c r="F1040" s="6"/>
      <c r="G1040" s="78"/>
      <c r="H1040" s="78"/>
      <c r="I1040" s="16"/>
      <c r="J1040" s="16"/>
      <c r="K1040" s="5"/>
      <c r="L1040" s="5"/>
    </row>
    <row r="1041" spans="1:12" ht="15" customHeight="1">
      <c r="A1041" s="92"/>
      <c r="B1041" s="5"/>
      <c r="C1041" s="5"/>
      <c r="D1041" s="9"/>
      <c r="E1041" s="6"/>
      <c r="F1041" s="6"/>
      <c r="G1041" s="78"/>
      <c r="H1041" s="78"/>
      <c r="I1041" s="16"/>
      <c r="J1041" s="16"/>
      <c r="K1041" s="5"/>
      <c r="L1041" s="5"/>
    </row>
    <row r="1042" spans="1:12" ht="15" customHeight="1">
      <c r="A1042" s="92"/>
      <c r="B1042" s="5"/>
      <c r="C1042" s="5"/>
      <c r="D1042" s="9"/>
      <c r="E1042" s="6"/>
      <c r="F1042" s="6"/>
      <c r="G1042" s="78"/>
      <c r="H1042" s="78"/>
      <c r="I1042" s="16"/>
      <c r="J1042" s="16"/>
      <c r="K1042" s="5"/>
      <c r="L1042" s="5"/>
    </row>
    <row r="1043" spans="1:12" ht="15" customHeight="1">
      <c r="A1043" s="92"/>
      <c r="B1043" s="5"/>
      <c r="C1043" s="5"/>
      <c r="D1043" s="9"/>
      <c r="E1043" s="6"/>
      <c r="F1043" s="6"/>
      <c r="G1043" s="78"/>
      <c r="H1043" s="78"/>
      <c r="I1043" s="16"/>
      <c r="J1043" s="16"/>
      <c r="K1043" s="5"/>
      <c r="L1043" s="5"/>
    </row>
    <row r="1044" spans="1:12" ht="15" customHeight="1">
      <c r="A1044" s="92"/>
      <c r="B1044" s="5"/>
      <c r="C1044" s="5"/>
      <c r="D1044" s="9"/>
      <c r="E1044" s="6"/>
      <c r="F1044" s="6"/>
      <c r="G1044" s="78"/>
      <c r="H1044" s="78"/>
      <c r="I1044" s="16"/>
      <c r="J1044" s="16"/>
      <c r="K1044" s="5"/>
      <c r="L1044" s="5"/>
    </row>
    <row r="1045" spans="1:12" ht="15" customHeight="1">
      <c r="A1045" s="92"/>
      <c r="B1045" s="5"/>
      <c r="C1045" s="5"/>
      <c r="D1045" s="9"/>
      <c r="E1045" s="6"/>
      <c r="F1045" s="6"/>
      <c r="G1045" s="78"/>
      <c r="H1045" s="78"/>
      <c r="I1045" s="16"/>
      <c r="J1045" s="16"/>
      <c r="K1045" s="5"/>
      <c r="L1045" s="5"/>
    </row>
    <row r="1046" spans="1:12" ht="15" customHeight="1">
      <c r="A1046" s="92"/>
      <c r="B1046" s="5"/>
      <c r="C1046" s="5"/>
      <c r="D1046" s="9"/>
      <c r="E1046" s="6"/>
      <c r="F1046" s="6"/>
      <c r="G1046" s="78"/>
      <c r="H1046" s="78"/>
      <c r="I1046" s="16"/>
      <c r="J1046" s="16"/>
      <c r="K1046" s="5"/>
      <c r="L1046" s="5"/>
    </row>
    <row r="1047" spans="1:12" ht="15" customHeight="1">
      <c r="A1047" s="92"/>
      <c r="B1047" s="5"/>
      <c r="C1047" s="5"/>
      <c r="D1047" s="9"/>
      <c r="E1047" s="6"/>
      <c r="F1047" s="6"/>
      <c r="G1047" s="78"/>
      <c r="H1047" s="78"/>
      <c r="I1047" s="16"/>
      <c r="J1047" s="16"/>
      <c r="K1047" s="5"/>
      <c r="L1047" s="5"/>
    </row>
    <row r="1048" spans="1:12" ht="15" customHeight="1">
      <c r="A1048" s="92"/>
      <c r="B1048" s="5"/>
      <c r="C1048" s="5"/>
      <c r="D1048" s="9"/>
      <c r="E1048" s="6"/>
      <c r="F1048" s="6"/>
      <c r="G1048" s="78"/>
      <c r="H1048" s="78"/>
      <c r="I1048" s="16"/>
      <c r="J1048" s="16"/>
      <c r="K1048" s="5"/>
      <c r="L1048" s="5"/>
    </row>
    <row r="1049" spans="1:12" ht="15" customHeight="1">
      <c r="A1049" s="92"/>
      <c r="B1049" s="5"/>
      <c r="C1049" s="5"/>
      <c r="D1049" s="9"/>
      <c r="E1049" s="6"/>
      <c r="F1049" s="6"/>
      <c r="G1049" s="78"/>
      <c r="H1049" s="78"/>
      <c r="I1049" s="16"/>
      <c r="J1049" s="16"/>
      <c r="K1049" s="5"/>
      <c r="L1049" s="5"/>
    </row>
    <row r="1050" spans="1:12" ht="15" customHeight="1">
      <c r="A1050" s="92"/>
      <c r="B1050" s="5"/>
      <c r="C1050" s="5"/>
      <c r="D1050" s="9"/>
      <c r="E1050" s="6"/>
      <c r="F1050" s="6"/>
      <c r="G1050" s="78"/>
      <c r="H1050" s="78"/>
      <c r="I1050" s="16"/>
      <c r="J1050" s="16"/>
      <c r="K1050" s="5"/>
      <c r="L1050" s="5"/>
    </row>
    <row r="1051" spans="1:12" ht="15" customHeight="1">
      <c r="A1051" s="92"/>
      <c r="B1051" s="5"/>
      <c r="C1051" s="5"/>
      <c r="D1051" s="9"/>
      <c r="E1051" s="6"/>
      <c r="F1051" s="6"/>
      <c r="G1051" s="78"/>
      <c r="H1051" s="78"/>
      <c r="I1051" s="16"/>
      <c r="J1051" s="16"/>
      <c r="K1051" s="5"/>
      <c r="L1051" s="5"/>
    </row>
    <row r="1052" spans="1:12" ht="15" customHeight="1">
      <c r="A1052" s="92"/>
      <c r="B1052" s="5"/>
      <c r="C1052" s="5"/>
      <c r="D1052" s="9"/>
      <c r="E1052" s="6"/>
      <c r="F1052" s="6"/>
      <c r="G1052" s="78"/>
      <c r="H1052" s="78"/>
      <c r="I1052" s="16"/>
      <c r="J1052" s="16"/>
      <c r="K1052" s="5"/>
      <c r="L1052" s="5"/>
    </row>
    <row r="1053" spans="1:12" ht="15" customHeight="1">
      <c r="A1053" s="92"/>
      <c r="B1053" s="5"/>
      <c r="C1053" s="5"/>
      <c r="D1053" s="9"/>
      <c r="E1053" s="6"/>
      <c r="F1053" s="6"/>
      <c r="G1053" s="78"/>
      <c r="H1053" s="78"/>
      <c r="I1053" s="16"/>
      <c r="J1053" s="16"/>
      <c r="K1053" s="5"/>
      <c r="L1053" s="5"/>
    </row>
    <row r="1054" spans="1:12" ht="15" customHeight="1">
      <c r="A1054" s="92"/>
      <c r="B1054" s="5"/>
      <c r="C1054" s="5"/>
      <c r="D1054" s="9"/>
      <c r="E1054" s="6"/>
      <c r="F1054" s="6"/>
      <c r="G1054" s="78"/>
      <c r="H1054" s="78"/>
      <c r="I1054" s="16"/>
      <c r="J1054" s="16"/>
      <c r="K1054" s="5"/>
      <c r="L1054" s="5"/>
    </row>
    <row r="1055" spans="1:12" ht="15" customHeight="1">
      <c r="A1055" s="92"/>
      <c r="B1055" s="5"/>
      <c r="C1055" s="5"/>
      <c r="D1055" s="9"/>
      <c r="E1055" s="6"/>
      <c r="F1055" s="6"/>
      <c r="G1055" s="78"/>
      <c r="H1055" s="78"/>
      <c r="I1055" s="16"/>
      <c r="J1055" s="16"/>
      <c r="K1055" s="5"/>
      <c r="L1055" s="5"/>
    </row>
    <row r="1056" spans="1:12" ht="15" customHeight="1">
      <c r="A1056" s="92"/>
      <c r="B1056" s="5"/>
      <c r="C1056" s="5"/>
      <c r="D1056" s="9"/>
      <c r="E1056" s="6"/>
      <c r="F1056" s="6"/>
      <c r="G1056" s="78"/>
      <c r="H1056" s="78"/>
      <c r="I1056" s="16"/>
      <c r="J1056" s="16"/>
      <c r="K1056" s="5"/>
      <c r="L1056" s="5"/>
    </row>
    <row r="1057" spans="1:12" ht="15" customHeight="1">
      <c r="A1057" s="92"/>
      <c r="B1057" s="5"/>
      <c r="C1057" s="5"/>
      <c r="D1057" s="9"/>
      <c r="E1057" s="6"/>
      <c r="F1057" s="6"/>
      <c r="G1057" s="78"/>
      <c r="H1057" s="78"/>
      <c r="I1057" s="16"/>
      <c r="J1057" s="16"/>
      <c r="K1057" s="5"/>
      <c r="L1057" s="5"/>
    </row>
    <row r="1058" spans="1:12" ht="15" customHeight="1">
      <c r="A1058" s="92"/>
      <c r="B1058" s="5"/>
      <c r="C1058" s="5"/>
      <c r="D1058" s="9"/>
      <c r="E1058" s="6"/>
      <c r="F1058" s="6"/>
      <c r="G1058" s="78"/>
      <c r="H1058" s="78"/>
      <c r="I1058" s="16"/>
      <c r="J1058" s="16"/>
      <c r="K1058" s="5"/>
      <c r="L1058" s="5"/>
    </row>
    <row r="1059" spans="1:12" ht="15" customHeight="1">
      <c r="A1059" s="92"/>
      <c r="B1059" s="5"/>
      <c r="C1059" s="5"/>
      <c r="D1059" s="9"/>
      <c r="E1059" s="6"/>
      <c r="F1059" s="6"/>
      <c r="G1059" s="78"/>
      <c r="H1059" s="78"/>
      <c r="I1059" s="16"/>
      <c r="J1059" s="16"/>
      <c r="K1059" s="5"/>
      <c r="L1059" s="5"/>
    </row>
    <row r="1060" spans="1:12" ht="15" customHeight="1">
      <c r="A1060" s="92"/>
      <c r="B1060" s="5"/>
      <c r="C1060" s="5"/>
      <c r="D1060" s="9"/>
      <c r="E1060" s="6"/>
      <c r="F1060" s="6"/>
      <c r="G1060" s="78"/>
      <c r="H1060" s="78"/>
      <c r="I1060" s="16"/>
      <c r="J1060" s="16"/>
      <c r="K1060" s="5"/>
      <c r="L1060" s="5"/>
    </row>
    <row r="1061" spans="1:12" ht="15" customHeight="1">
      <c r="A1061" s="92"/>
      <c r="B1061" s="5"/>
      <c r="C1061" s="5"/>
      <c r="D1061" s="9"/>
      <c r="E1061" s="6"/>
      <c r="F1061" s="6"/>
      <c r="G1061" s="78"/>
      <c r="H1061" s="78"/>
      <c r="I1061" s="16"/>
      <c r="J1061" s="16"/>
      <c r="K1061" s="5"/>
      <c r="L1061" s="5"/>
    </row>
    <row r="1062" spans="1:12" ht="15" customHeight="1">
      <c r="A1062" s="92"/>
      <c r="B1062" s="5"/>
      <c r="C1062" s="5"/>
      <c r="D1062" s="9"/>
      <c r="E1062" s="6"/>
      <c r="F1062" s="6"/>
      <c r="G1062" s="78"/>
      <c r="H1062" s="78"/>
      <c r="I1062" s="16"/>
      <c r="J1062" s="16"/>
      <c r="K1062" s="5"/>
      <c r="L1062" s="5"/>
    </row>
    <row r="1063" spans="1:12" ht="15" customHeight="1">
      <c r="A1063" s="92"/>
      <c r="B1063" s="5"/>
      <c r="C1063" s="5"/>
      <c r="D1063" s="9"/>
      <c r="E1063" s="6"/>
      <c r="F1063" s="6"/>
      <c r="G1063" s="78"/>
      <c r="H1063" s="78"/>
      <c r="I1063" s="16"/>
      <c r="J1063" s="16"/>
      <c r="K1063" s="5"/>
      <c r="L1063" s="5"/>
    </row>
    <row r="1064" spans="1:12" ht="15" customHeight="1">
      <c r="A1064" s="92"/>
      <c r="B1064" s="5"/>
      <c r="C1064" s="5"/>
      <c r="D1064" s="9"/>
      <c r="E1064" s="6"/>
      <c r="F1064" s="6"/>
      <c r="G1064" s="78"/>
      <c r="H1064" s="78"/>
      <c r="I1064" s="16"/>
      <c r="J1064" s="16"/>
      <c r="K1064" s="5"/>
      <c r="L1064" s="5"/>
    </row>
    <row r="1065" spans="1:12" ht="15" customHeight="1">
      <c r="A1065" s="92"/>
      <c r="B1065" s="5"/>
      <c r="C1065" s="5"/>
      <c r="D1065" s="9"/>
      <c r="E1065" s="6"/>
      <c r="F1065" s="6"/>
      <c r="G1065" s="78"/>
      <c r="H1065" s="78"/>
      <c r="I1065" s="16"/>
      <c r="J1065" s="16"/>
      <c r="K1065" s="5"/>
      <c r="L1065" s="5"/>
    </row>
    <row r="1066" spans="1:12" ht="15" customHeight="1">
      <c r="A1066" s="92"/>
      <c r="B1066" s="5"/>
      <c r="C1066" s="5"/>
      <c r="D1066" s="9"/>
      <c r="E1066" s="6"/>
      <c r="F1066" s="6"/>
      <c r="G1066" s="78"/>
      <c r="H1066" s="78"/>
      <c r="I1066" s="16"/>
      <c r="J1066" s="16"/>
      <c r="K1066" s="5"/>
      <c r="L1066" s="5"/>
    </row>
    <row r="1067" spans="1:12" ht="15" customHeight="1">
      <c r="A1067" s="92"/>
      <c r="B1067" s="5"/>
      <c r="C1067" s="5"/>
      <c r="D1067" s="9"/>
      <c r="E1067" s="6"/>
      <c r="F1067" s="6"/>
      <c r="G1067" s="78"/>
      <c r="H1067" s="78"/>
      <c r="I1067" s="16"/>
      <c r="J1067" s="16"/>
      <c r="K1067" s="5"/>
      <c r="L1067" s="5"/>
    </row>
    <row r="1068" spans="1:12" ht="15" customHeight="1">
      <c r="A1068" s="92"/>
      <c r="B1068" s="5"/>
      <c r="C1068" s="5"/>
      <c r="D1068" s="9"/>
      <c r="E1068" s="6"/>
      <c r="F1068" s="6"/>
      <c r="G1068" s="78"/>
      <c r="H1068" s="78"/>
      <c r="I1068" s="16"/>
      <c r="J1068" s="16"/>
      <c r="K1068" s="5"/>
      <c r="L1068" s="5"/>
    </row>
    <row r="1069" spans="1:12" ht="15" customHeight="1">
      <c r="A1069" s="92"/>
      <c r="B1069" s="5"/>
      <c r="C1069" s="5"/>
      <c r="D1069" s="9"/>
      <c r="E1069" s="6"/>
      <c r="F1069" s="6"/>
      <c r="G1069" s="78"/>
      <c r="H1069" s="78"/>
      <c r="I1069" s="16"/>
      <c r="J1069" s="16"/>
      <c r="K1069" s="5"/>
      <c r="L1069" s="5"/>
    </row>
    <row r="1070" spans="1:12" ht="15" customHeight="1">
      <c r="A1070" s="92"/>
      <c r="B1070" s="5"/>
      <c r="C1070" s="5"/>
      <c r="D1070" s="9"/>
      <c r="E1070" s="6"/>
      <c r="F1070" s="6"/>
      <c r="G1070" s="78"/>
      <c r="H1070" s="78"/>
      <c r="I1070" s="16"/>
      <c r="J1070" s="16"/>
      <c r="K1070" s="5"/>
      <c r="L1070" s="5"/>
    </row>
    <row r="1071" spans="1:12" ht="15" customHeight="1">
      <c r="A1071" s="92"/>
      <c r="B1071" s="5"/>
      <c r="C1071" s="5"/>
      <c r="D1071" s="9"/>
      <c r="E1071" s="6"/>
      <c r="F1071" s="6"/>
      <c r="G1071" s="78"/>
      <c r="H1071" s="78"/>
      <c r="I1071" s="16"/>
      <c r="J1071" s="16"/>
      <c r="K1071" s="5"/>
      <c r="L1071" s="5"/>
    </row>
    <row r="1072" spans="1:12" ht="15" customHeight="1">
      <c r="A1072" s="92"/>
      <c r="B1072" s="5"/>
      <c r="C1072" s="5"/>
      <c r="D1072" s="9"/>
      <c r="E1072" s="6"/>
      <c r="F1072" s="6"/>
      <c r="G1072" s="78"/>
      <c r="H1072" s="78"/>
      <c r="I1072" s="16"/>
      <c r="J1072" s="16"/>
      <c r="K1072" s="5"/>
      <c r="L1072" s="5"/>
    </row>
    <row r="1073" spans="1:12" ht="15" customHeight="1">
      <c r="A1073" s="92"/>
      <c r="B1073" s="5"/>
      <c r="C1073" s="5"/>
      <c r="D1073" s="9"/>
      <c r="E1073" s="6"/>
      <c r="F1073" s="6"/>
      <c r="G1073" s="78"/>
      <c r="H1073" s="78"/>
      <c r="I1073" s="16"/>
      <c r="J1073" s="16"/>
      <c r="K1073" s="5"/>
      <c r="L1073" s="5"/>
    </row>
    <row r="1074" spans="1:12" ht="15" customHeight="1">
      <c r="A1074" s="92"/>
      <c r="B1074" s="5"/>
      <c r="C1074" s="5"/>
      <c r="D1074" s="9"/>
      <c r="E1074" s="6"/>
      <c r="F1074" s="6"/>
      <c r="G1074" s="78"/>
      <c r="H1074" s="78"/>
      <c r="I1074" s="16"/>
      <c r="J1074" s="16"/>
      <c r="K1074" s="5"/>
      <c r="L1074" s="5"/>
    </row>
    <row r="1075" spans="1:12" ht="15" customHeight="1">
      <c r="A1075" s="92"/>
      <c r="B1075" s="5"/>
      <c r="C1075" s="5"/>
      <c r="D1075" s="9"/>
      <c r="E1075" s="6"/>
      <c r="F1075" s="6"/>
      <c r="G1075" s="78"/>
      <c r="H1075" s="78"/>
      <c r="I1075" s="16"/>
      <c r="J1075" s="16"/>
      <c r="K1075" s="5"/>
      <c r="L1075" s="5"/>
    </row>
    <row r="1076" spans="1:12" ht="15" customHeight="1">
      <c r="A1076" s="92"/>
      <c r="B1076" s="5"/>
      <c r="C1076" s="5"/>
      <c r="D1076" s="9"/>
      <c r="E1076" s="6"/>
      <c r="F1076" s="6"/>
      <c r="G1076" s="78"/>
      <c r="H1076" s="78"/>
      <c r="I1076" s="16"/>
      <c r="J1076" s="16"/>
      <c r="K1076" s="5"/>
      <c r="L1076" s="5"/>
    </row>
    <row r="1077" spans="1:12" ht="15" customHeight="1">
      <c r="A1077" s="92"/>
      <c r="B1077" s="5"/>
      <c r="C1077" s="5"/>
      <c r="D1077" s="9"/>
      <c r="E1077" s="6"/>
      <c r="F1077" s="6"/>
      <c r="G1077" s="78"/>
      <c r="H1077" s="78"/>
      <c r="I1077" s="16"/>
      <c r="J1077" s="16"/>
      <c r="K1077" s="5"/>
      <c r="L1077" s="5"/>
    </row>
    <row r="1078" spans="1:12" ht="15" customHeight="1">
      <c r="A1078" s="92"/>
      <c r="B1078" s="5"/>
      <c r="C1078" s="5"/>
      <c r="D1078" s="9"/>
      <c r="E1078" s="6"/>
      <c r="F1078" s="6"/>
      <c r="G1078" s="78"/>
      <c r="H1078" s="78"/>
      <c r="I1078" s="16"/>
      <c r="J1078" s="16"/>
      <c r="K1078" s="5"/>
      <c r="L1078" s="5"/>
    </row>
    <row r="1079" spans="1:12" ht="15" customHeight="1">
      <c r="A1079" s="92"/>
      <c r="B1079" s="5"/>
      <c r="C1079" s="5"/>
      <c r="D1079" s="9"/>
      <c r="E1079" s="6"/>
      <c r="F1079" s="6"/>
      <c r="G1079" s="78"/>
      <c r="H1079" s="78"/>
      <c r="I1079" s="16"/>
      <c r="J1079" s="16"/>
      <c r="K1079" s="5"/>
      <c r="L1079" s="5"/>
    </row>
    <row r="1080" spans="1:12" ht="15" customHeight="1">
      <c r="A1080" s="92"/>
      <c r="B1080" s="5"/>
      <c r="C1080" s="5"/>
      <c r="D1080" s="9"/>
      <c r="E1080" s="6"/>
      <c r="F1080" s="6"/>
      <c r="G1080" s="78"/>
      <c r="H1080" s="78"/>
      <c r="I1080" s="16"/>
      <c r="J1080" s="16"/>
      <c r="K1080" s="5"/>
      <c r="L1080" s="5"/>
    </row>
    <row r="1081" spans="1:12" ht="15" customHeight="1">
      <c r="A1081" s="92"/>
      <c r="B1081" s="5"/>
      <c r="C1081" s="5"/>
      <c r="D1081" s="9"/>
      <c r="E1081" s="6"/>
      <c r="F1081" s="6"/>
      <c r="G1081" s="78"/>
      <c r="H1081" s="78"/>
      <c r="I1081" s="16"/>
      <c r="J1081" s="16"/>
      <c r="K1081" s="5"/>
      <c r="L1081" s="5"/>
    </row>
    <row r="1082" spans="1:12" ht="15" customHeight="1">
      <c r="A1082" s="92"/>
      <c r="B1082" s="5"/>
      <c r="C1082" s="5"/>
      <c r="D1082" s="9"/>
      <c r="E1082" s="6"/>
      <c r="F1082" s="6"/>
      <c r="G1082" s="78"/>
      <c r="H1082" s="78"/>
      <c r="I1082" s="16"/>
      <c r="J1082" s="16"/>
      <c r="K1082" s="5"/>
      <c r="L1082" s="5"/>
    </row>
    <row r="1083" spans="1:12" ht="15" customHeight="1">
      <c r="A1083" s="92"/>
      <c r="B1083" s="5"/>
      <c r="C1083" s="5"/>
      <c r="D1083" s="9"/>
      <c r="E1083" s="6"/>
      <c r="F1083" s="6"/>
      <c r="G1083" s="78"/>
      <c r="H1083" s="78"/>
      <c r="I1083" s="16"/>
      <c r="J1083" s="16"/>
      <c r="K1083" s="5"/>
      <c r="L1083" s="5"/>
    </row>
    <row r="1084" spans="1:12" ht="15" customHeight="1">
      <c r="A1084" s="92"/>
      <c r="B1084" s="5"/>
      <c r="C1084" s="5"/>
      <c r="D1084" s="9"/>
      <c r="E1084" s="6"/>
      <c r="F1084" s="6"/>
      <c r="G1084" s="78"/>
      <c r="H1084" s="78"/>
      <c r="I1084" s="16"/>
      <c r="J1084" s="16"/>
      <c r="K1084" s="5"/>
      <c r="L1084" s="5"/>
    </row>
    <row r="1085" spans="1:12" ht="15" customHeight="1">
      <c r="A1085" s="92"/>
      <c r="B1085" s="5"/>
      <c r="C1085" s="5"/>
      <c r="D1085" s="9"/>
      <c r="E1085" s="6"/>
      <c r="F1085" s="6"/>
      <c r="G1085" s="78"/>
      <c r="H1085" s="78"/>
      <c r="I1085" s="16"/>
      <c r="J1085" s="16"/>
      <c r="K1085" s="5"/>
      <c r="L1085" s="5"/>
    </row>
    <row r="1086" spans="1:12" ht="15" customHeight="1">
      <c r="A1086" s="92"/>
      <c r="B1086" s="5"/>
      <c r="C1086" s="5"/>
      <c r="D1086" s="9"/>
      <c r="E1086" s="6"/>
      <c r="F1086" s="6"/>
      <c r="G1086" s="78"/>
      <c r="H1086" s="78"/>
      <c r="I1086" s="16"/>
      <c r="J1086" s="16"/>
      <c r="K1086" s="5"/>
      <c r="L1086" s="5"/>
    </row>
    <row r="1087" spans="1:12" ht="15" customHeight="1">
      <c r="A1087" s="92"/>
      <c r="B1087" s="5"/>
      <c r="C1087" s="5"/>
      <c r="D1087" s="9"/>
      <c r="E1087" s="6"/>
      <c r="F1087" s="6"/>
      <c r="G1087" s="78"/>
      <c r="H1087" s="78"/>
      <c r="I1087" s="16"/>
      <c r="J1087" s="16"/>
      <c r="K1087" s="5"/>
      <c r="L1087" s="5"/>
    </row>
    <row r="1088" spans="1:12" ht="15" customHeight="1">
      <c r="A1088" s="92"/>
      <c r="B1088" s="5"/>
      <c r="C1088" s="5"/>
      <c r="D1088" s="9"/>
      <c r="E1088" s="6"/>
      <c r="F1088" s="6"/>
      <c r="G1088" s="78"/>
      <c r="H1088" s="78"/>
      <c r="I1088" s="16"/>
      <c r="J1088" s="16"/>
      <c r="K1088" s="5"/>
      <c r="L1088" s="5"/>
    </row>
    <row r="1089" spans="1:12" ht="15" customHeight="1">
      <c r="A1089" s="92"/>
      <c r="B1089" s="5"/>
      <c r="C1089" s="5"/>
      <c r="D1089" s="9"/>
      <c r="E1089" s="6"/>
      <c r="F1089" s="6"/>
      <c r="G1089" s="78"/>
      <c r="H1089" s="78"/>
      <c r="I1089" s="16"/>
      <c r="J1089" s="16"/>
      <c r="K1089" s="5"/>
      <c r="L1089" s="5"/>
    </row>
    <row r="1090" spans="1:12" ht="15" customHeight="1">
      <c r="A1090" s="92"/>
      <c r="B1090" s="5"/>
      <c r="C1090" s="5"/>
      <c r="D1090" s="9"/>
      <c r="E1090" s="6"/>
      <c r="F1090" s="6"/>
      <c r="G1090" s="78"/>
      <c r="H1090" s="78"/>
      <c r="I1090" s="16"/>
      <c r="J1090" s="16"/>
      <c r="K1090" s="5"/>
      <c r="L1090" s="5"/>
    </row>
    <row r="1091" spans="1:12" ht="15" customHeight="1">
      <c r="A1091" s="92"/>
      <c r="B1091" s="5"/>
      <c r="C1091" s="5"/>
      <c r="D1091" s="9"/>
      <c r="E1091" s="6"/>
      <c r="F1091" s="6"/>
      <c r="G1091" s="78"/>
      <c r="H1091" s="78"/>
      <c r="I1091" s="16"/>
      <c r="J1091" s="16"/>
      <c r="K1091" s="5"/>
      <c r="L1091" s="5"/>
    </row>
    <row r="1092" spans="1:12" ht="15" customHeight="1">
      <c r="A1092" s="92"/>
      <c r="B1092" s="5"/>
      <c r="C1092" s="5"/>
      <c r="D1092" s="9"/>
      <c r="E1092" s="6"/>
      <c r="F1092" s="6"/>
      <c r="G1092" s="78"/>
      <c r="H1092" s="78"/>
      <c r="I1092" s="16"/>
      <c r="J1092" s="16"/>
      <c r="K1092" s="5"/>
      <c r="L1092" s="5"/>
    </row>
    <row r="1093" spans="1:12" ht="15" customHeight="1">
      <c r="A1093" s="92"/>
      <c r="B1093" s="5"/>
      <c r="C1093" s="5"/>
      <c r="D1093" s="9"/>
      <c r="E1093" s="6"/>
      <c r="F1093" s="6"/>
      <c r="G1093" s="78"/>
      <c r="H1093" s="78"/>
      <c r="I1093" s="16"/>
      <c r="J1093" s="16"/>
      <c r="K1093" s="5"/>
      <c r="L1093" s="5"/>
    </row>
    <row r="1094" spans="1:12" ht="15" customHeight="1">
      <c r="A1094" s="92"/>
      <c r="B1094" s="5"/>
      <c r="C1094" s="5"/>
      <c r="D1094" s="9"/>
      <c r="E1094" s="6"/>
      <c r="F1094" s="6"/>
      <c r="G1094" s="78"/>
      <c r="H1094" s="78"/>
      <c r="I1094" s="16"/>
      <c r="J1094" s="16"/>
      <c r="K1094" s="5"/>
      <c r="L1094" s="5"/>
    </row>
    <row r="1095" spans="1:12" ht="15" customHeight="1">
      <c r="A1095" s="92"/>
      <c r="B1095" s="5"/>
      <c r="C1095" s="5"/>
      <c r="D1095" s="9"/>
      <c r="E1095" s="6"/>
      <c r="F1095" s="6"/>
      <c r="G1095" s="78"/>
      <c r="H1095" s="78"/>
      <c r="I1095" s="16"/>
      <c r="J1095" s="16"/>
      <c r="K1095" s="5"/>
      <c r="L1095" s="5"/>
    </row>
    <row r="1096" spans="1:12" ht="15" customHeight="1">
      <c r="A1096" s="92"/>
      <c r="B1096" s="5"/>
      <c r="C1096" s="5"/>
      <c r="D1096" s="9"/>
      <c r="E1096" s="6"/>
      <c r="F1096" s="6"/>
      <c r="G1096" s="78"/>
      <c r="H1096" s="78"/>
      <c r="I1096" s="16"/>
      <c r="J1096" s="16"/>
      <c r="K1096" s="5"/>
      <c r="L1096" s="5"/>
    </row>
    <row r="1097" spans="1:12" ht="15" customHeight="1">
      <c r="A1097" s="92"/>
      <c r="B1097" s="5"/>
      <c r="C1097" s="5"/>
      <c r="D1097" s="9"/>
      <c r="E1097" s="6"/>
      <c r="F1097" s="6"/>
      <c r="G1097" s="78"/>
      <c r="H1097" s="78"/>
      <c r="I1097" s="16"/>
      <c r="J1097" s="16"/>
      <c r="K1097" s="5"/>
      <c r="L1097" s="5"/>
    </row>
    <row r="1098" spans="1:12" ht="15" customHeight="1">
      <c r="A1098" s="92"/>
      <c r="B1098" s="5"/>
      <c r="C1098" s="5"/>
      <c r="D1098" s="9"/>
      <c r="E1098" s="6"/>
      <c r="F1098" s="6"/>
      <c r="G1098" s="78"/>
      <c r="H1098" s="78"/>
      <c r="I1098" s="16"/>
      <c r="J1098" s="16"/>
      <c r="K1098" s="5"/>
      <c r="L1098" s="5"/>
    </row>
    <row r="1099" spans="1:12" ht="15" customHeight="1">
      <c r="A1099" s="92"/>
      <c r="B1099" s="5"/>
      <c r="C1099" s="5"/>
      <c r="D1099" s="9"/>
      <c r="E1099" s="6"/>
      <c r="F1099" s="6"/>
      <c r="G1099" s="78"/>
      <c r="H1099" s="78"/>
      <c r="I1099" s="16"/>
      <c r="J1099" s="16"/>
      <c r="K1099" s="5"/>
      <c r="L1099" s="5"/>
    </row>
    <row r="1100" spans="1:12" ht="15" customHeight="1">
      <c r="A1100" s="92"/>
      <c r="B1100" s="5"/>
      <c r="C1100" s="5"/>
      <c r="D1100" s="9"/>
      <c r="E1100" s="6"/>
      <c r="F1100" s="6"/>
      <c r="G1100" s="78"/>
      <c r="H1100" s="78"/>
      <c r="I1100" s="16"/>
      <c r="J1100" s="16"/>
      <c r="K1100" s="5"/>
      <c r="L1100" s="5"/>
    </row>
    <row r="1101" spans="1:12" ht="15" customHeight="1">
      <c r="A1101" s="92"/>
      <c r="B1101" s="5"/>
      <c r="C1101" s="5"/>
      <c r="D1101" s="9"/>
      <c r="E1101" s="6"/>
      <c r="F1101" s="6"/>
      <c r="G1101" s="78"/>
      <c r="H1101" s="78"/>
      <c r="I1101" s="16"/>
      <c r="J1101" s="16"/>
      <c r="K1101" s="5"/>
      <c r="L1101" s="5"/>
    </row>
    <row r="1102" spans="1:12" ht="15" customHeight="1">
      <c r="A1102" s="92"/>
      <c r="B1102" s="5"/>
      <c r="C1102" s="5"/>
      <c r="D1102" s="9"/>
      <c r="E1102" s="6"/>
      <c r="F1102" s="6"/>
      <c r="G1102" s="78"/>
      <c r="H1102" s="78"/>
      <c r="I1102" s="16"/>
      <c r="J1102" s="16"/>
      <c r="K1102" s="5"/>
      <c r="L1102" s="5"/>
    </row>
    <row r="1103" spans="1:12" ht="15" customHeight="1">
      <c r="A1103" s="92"/>
      <c r="B1103" s="5"/>
      <c r="C1103" s="5"/>
      <c r="D1103" s="9"/>
      <c r="E1103" s="6"/>
      <c r="F1103" s="6"/>
      <c r="G1103" s="78"/>
      <c r="H1103" s="78"/>
      <c r="I1103" s="16"/>
      <c r="J1103" s="16"/>
      <c r="K1103" s="5"/>
      <c r="L1103" s="5"/>
    </row>
    <row r="1104" spans="1:12" ht="15" customHeight="1">
      <c r="A1104" s="92"/>
      <c r="B1104" s="5"/>
      <c r="C1104" s="5"/>
      <c r="D1104" s="9"/>
      <c r="E1104" s="6"/>
      <c r="F1104" s="6"/>
      <c r="G1104" s="78"/>
      <c r="H1104" s="78"/>
      <c r="I1104" s="16"/>
      <c r="J1104" s="16"/>
      <c r="K1104" s="5"/>
      <c r="L1104" s="5"/>
    </row>
    <row r="1105" spans="1:12" ht="15" customHeight="1">
      <c r="A1105" s="92"/>
      <c r="B1105" s="5"/>
      <c r="C1105" s="5"/>
      <c r="D1105" s="9"/>
      <c r="E1105" s="6"/>
      <c r="F1105" s="6"/>
      <c r="G1105" s="78"/>
      <c r="H1105" s="78"/>
      <c r="I1105" s="16"/>
      <c r="J1105" s="16"/>
      <c r="K1105" s="5"/>
      <c r="L1105" s="5"/>
    </row>
    <row r="1106" spans="1:12" ht="15" customHeight="1">
      <c r="A1106" s="92"/>
      <c r="B1106" s="5"/>
      <c r="C1106" s="5"/>
      <c r="D1106" s="9"/>
      <c r="E1106" s="6"/>
      <c r="F1106" s="6"/>
      <c r="G1106" s="78"/>
      <c r="H1106" s="78"/>
      <c r="I1106" s="16"/>
      <c r="J1106" s="16"/>
      <c r="K1106" s="5"/>
      <c r="L1106" s="5"/>
    </row>
    <row r="1107" spans="1:12" ht="15" customHeight="1">
      <c r="A1107" s="92"/>
      <c r="B1107" s="5"/>
      <c r="C1107" s="5"/>
      <c r="D1107" s="9"/>
      <c r="E1107" s="6"/>
      <c r="F1107" s="6"/>
      <c r="G1107" s="78"/>
      <c r="H1107" s="78"/>
      <c r="I1107" s="16"/>
      <c r="J1107" s="16"/>
      <c r="K1107" s="5"/>
      <c r="L1107" s="5"/>
    </row>
    <row r="1108" spans="1:12" ht="15" customHeight="1">
      <c r="A1108" s="92"/>
      <c r="B1108" s="5"/>
      <c r="C1108" s="5"/>
      <c r="D1108" s="9"/>
      <c r="E1108" s="6"/>
      <c r="F1108" s="6"/>
      <c r="G1108" s="78"/>
      <c r="H1108" s="78"/>
      <c r="I1108" s="16"/>
      <c r="J1108" s="16"/>
      <c r="K1108" s="5"/>
      <c r="L1108" s="5"/>
    </row>
    <row r="1109" spans="1:12" ht="15" customHeight="1">
      <c r="A1109" s="92"/>
      <c r="B1109" s="5"/>
      <c r="C1109" s="5"/>
      <c r="D1109" s="9"/>
      <c r="E1109" s="6"/>
      <c r="F1109" s="6"/>
      <c r="G1109" s="78"/>
      <c r="H1109" s="78"/>
      <c r="I1109" s="16"/>
      <c r="J1109" s="16"/>
      <c r="K1109" s="5"/>
      <c r="L1109" s="5"/>
    </row>
    <row r="1110" spans="1:12" ht="15" customHeight="1">
      <c r="A1110" s="92"/>
      <c r="B1110" s="5"/>
      <c r="C1110" s="5"/>
      <c r="D1110" s="9"/>
      <c r="E1110" s="6"/>
      <c r="F1110" s="6"/>
      <c r="G1110" s="78"/>
      <c r="H1110" s="78"/>
      <c r="I1110" s="16"/>
      <c r="J1110" s="16"/>
      <c r="K1110" s="5"/>
      <c r="L1110" s="5"/>
    </row>
    <row r="1111" spans="1:12" ht="15" customHeight="1">
      <c r="A1111" s="92"/>
      <c r="B1111" s="5"/>
      <c r="C1111" s="5"/>
      <c r="D1111" s="9"/>
      <c r="E1111" s="6"/>
      <c r="F1111" s="6"/>
      <c r="G1111" s="78"/>
      <c r="H1111" s="78"/>
      <c r="I1111" s="16"/>
      <c r="J1111" s="16"/>
      <c r="K1111" s="5"/>
      <c r="L1111" s="5"/>
    </row>
    <row r="1112" spans="1:12" ht="15" customHeight="1">
      <c r="A1112" s="92"/>
      <c r="B1112" s="5"/>
      <c r="C1112" s="5"/>
      <c r="D1112" s="9"/>
      <c r="E1112" s="6"/>
      <c r="F1112" s="6"/>
      <c r="G1112" s="78"/>
      <c r="H1112" s="78"/>
      <c r="I1112" s="16"/>
      <c r="J1112" s="16"/>
      <c r="K1112" s="5"/>
      <c r="L1112" s="5"/>
    </row>
    <row r="1113" spans="1:12" ht="15" customHeight="1">
      <c r="A1113" s="92"/>
      <c r="B1113" s="5"/>
      <c r="C1113" s="5"/>
      <c r="D1113" s="9"/>
      <c r="E1113" s="6"/>
      <c r="F1113" s="6"/>
      <c r="G1113" s="78"/>
      <c r="H1113" s="78"/>
      <c r="I1113" s="16"/>
      <c r="J1113" s="16"/>
      <c r="K1113" s="5"/>
      <c r="L1113" s="5"/>
    </row>
    <row r="1114" spans="1:12" ht="15" customHeight="1">
      <c r="A1114" s="92"/>
      <c r="B1114" s="5"/>
      <c r="C1114" s="5"/>
      <c r="D1114" s="9"/>
      <c r="E1114" s="6"/>
      <c r="F1114" s="6"/>
      <c r="G1114" s="78"/>
      <c r="H1114" s="78"/>
      <c r="I1114" s="16"/>
      <c r="J1114" s="16"/>
      <c r="K1114" s="5"/>
      <c r="L1114" s="5"/>
    </row>
    <row r="1115" spans="1:12" ht="15" customHeight="1">
      <c r="A1115" s="92"/>
      <c r="B1115" s="5"/>
      <c r="C1115" s="5"/>
      <c r="D1115" s="9"/>
      <c r="E1115" s="6"/>
      <c r="F1115" s="6"/>
      <c r="G1115" s="78"/>
      <c r="H1115" s="78"/>
      <c r="I1115" s="16"/>
      <c r="J1115" s="16"/>
      <c r="K1115" s="5"/>
      <c r="L1115" s="5"/>
    </row>
    <row r="1116" spans="1:12" ht="15" customHeight="1">
      <c r="A1116" s="92"/>
      <c r="B1116" s="5"/>
      <c r="C1116" s="5"/>
      <c r="D1116" s="9"/>
      <c r="E1116" s="6"/>
      <c r="F1116" s="6"/>
      <c r="G1116" s="78"/>
      <c r="H1116" s="78"/>
      <c r="I1116" s="16"/>
      <c r="J1116" s="16"/>
      <c r="K1116" s="5"/>
      <c r="L1116" s="5"/>
    </row>
    <row r="1117" spans="1:12" ht="15" customHeight="1">
      <c r="A1117" s="92"/>
      <c r="B1117" s="5"/>
      <c r="C1117" s="5"/>
      <c r="D1117" s="9"/>
      <c r="E1117" s="6"/>
      <c r="F1117" s="6"/>
      <c r="G1117" s="78"/>
      <c r="H1117" s="78"/>
      <c r="I1117" s="16"/>
      <c r="J1117" s="16"/>
      <c r="K1117" s="5"/>
      <c r="L1117" s="5"/>
    </row>
    <row r="1118" spans="1:12" ht="15" customHeight="1">
      <c r="A1118" s="92"/>
      <c r="B1118" s="5"/>
      <c r="C1118" s="5"/>
      <c r="D1118" s="9"/>
      <c r="E1118" s="6"/>
      <c r="F1118" s="6"/>
      <c r="G1118" s="78"/>
      <c r="H1118" s="78"/>
      <c r="I1118" s="16"/>
      <c r="J1118" s="16"/>
      <c r="K1118" s="5"/>
      <c r="L1118" s="5"/>
    </row>
    <row r="1119" spans="1:12" ht="15" customHeight="1">
      <c r="A1119" s="92"/>
      <c r="B1119" s="5"/>
      <c r="C1119" s="5"/>
      <c r="D1119" s="9"/>
      <c r="E1119" s="6"/>
      <c r="F1119" s="6"/>
      <c r="G1119" s="78"/>
      <c r="H1119" s="78"/>
      <c r="I1119" s="16"/>
      <c r="J1119" s="16"/>
      <c r="K1119" s="5"/>
      <c r="L1119" s="5"/>
    </row>
    <row r="1120" spans="1:12" ht="15" customHeight="1">
      <c r="A1120" s="92"/>
      <c r="B1120" s="5"/>
      <c r="C1120" s="5"/>
      <c r="D1120" s="9"/>
      <c r="E1120" s="6"/>
      <c r="F1120" s="6"/>
      <c r="G1120" s="78"/>
      <c r="H1120" s="78"/>
      <c r="I1120" s="16"/>
      <c r="J1120" s="16"/>
      <c r="K1120" s="5"/>
      <c r="L1120" s="5"/>
    </row>
    <row r="1121" spans="1:12" ht="15" customHeight="1">
      <c r="A1121" s="92"/>
      <c r="B1121" s="5"/>
      <c r="C1121" s="5"/>
      <c r="D1121" s="9"/>
      <c r="E1121" s="6"/>
      <c r="F1121" s="6"/>
      <c r="G1121" s="78"/>
      <c r="H1121" s="78"/>
      <c r="I1121" s="16"/>
      <c r="J1121" s="16"/>
      <c r="K1121" s="5"/>
      <c r="L1121" s="5"/>
    </row>
    <row r="1122" spans="1:12" ht="15" customHeight="1">
      <c r="A1122" s="92"/>
      <c r="B1122" s="5"/>
      <c r="C1122" s="5"/>
      <c r="D1122" s="9"/>
      <c r="E1122" s="6"/>
      <c r="F1122" s="6"/>
      <c r="G1122" s="78"/>
      <c r="H1122" s="78"/>
      <c r="I1122" s="16"/>
      <c r="J1122" s="16"/>
      <c r="K1122" s="5"/>
      <c r="L1122" s="5"/>
    </row>
    <row r="1123" spans="1:12" ht="15" customHeight="1">
      <c r="A1123" s="92"/>
      <c r="B1123" s="5"/>
      <c r="C1123" s="5"/>
      <c r="D1123" s="9"/>
      <c r="E1123" s="6"/>
      <c r="F1123" s="6"/>
      <c r="G1123" s="78"/>
      <c r="H1123" s="78"/>
      <c r="I1123" s="16"/>
      <c r="J1123" s="16"/>
      <c r="K1123" s="5"/>
      <c r="L1123" s="5"/>
    </row>
    <row r="1124" spans="1:12" ht="15" customHeight="1">
      <c r="A1124" s="92"/>
      <c r="B1124" s="5"/>
      <c r="C1124" s="5"/>
      <c r="D1124" s="9"/>
      <c r="E1124" s="6"/>
      <c r="F1124" s="6"/>
      <c r="G1124" s="78"/>
      <c r="H1124" s="78"/>
      <c r="I1124" s="16"/>
      <c r="J1124" s="16"/>
      <c r="K1124" s="5"/>
      <c r="L1124" s="5"/>
    </row>
    <row r="1125" spans="1:12" ht="15" customHeight="1">
      <c r="A1125" s="92"/>
      <c r="B1125" s="5"/>
      <c r="C1125" s="5"/>
      <c r="D1125" s="9"/>
      <c r="E1125" s="6"/>
      <c r="F1125" s="6"/>
      <c r="G1125" s="78"/>
      <c r="H1125" s="78"/>
      <c r="I1125" s="16"/>
      <c r="J1125" s="16"/>
      <c r="K1125" s="5"/>
      <c r="L1125" s="5"/>
    </row>
    <row r="1126" spans="1:12" ht="15" customHeight="1">
      <c r="A1126" s="92"/>
      <c r="B1126" s="5"/>
      <c r="C1126" s="5"/>
      <c r="D1126" s="9"/>
      <c r="E1126" s="6"/>
      <c r="F1126" s="6"/>
      <c r="G1126" s="78"/>
      <c r="H1126" s="78"/>
      <c r="I1126" s="16"/>
      <c r="J1126" s="16"/>
      <c r="K1126" s="5"/>
      <c r="L1126" s="5"/>
    </row>
    <row r="1127" spans="1:12" ht="15" customHeight="1">
      <c r="A1127" s="92"/>
      <c r="B1127" s="5"/>
      <c r="C1127" s="5"/>
      <c r="D1127" s="9"/>
      <c r="E1127" s="6"/>
      <c r="F1127" s="6"/>
      <c r="G1127" s="78"/>
      <c r="H1127" s="78"/>
      <c r="I1127" s="16"/>
      <c r="J1127" s="16"/>
      <c r="K1127" s="5"/>
      <c r="L1127" s="5"/>
    </row>
    <row r="1128" spans="1:12" ht="15" customHeight="1">
      <c r="A1128" s="92"/>
      <c r="B1128" s="5"/>
      <c r="C1128" s="5"/>
      <c r="D1128" s="9"/>
      <c r="E1128" s="6"/>
      <c r="F1128" s="6"/>
      <c r="G1128" s="78"/>
      <c r="H1128" s="78"/>
      <c r="I1128" s="16"/>
      <c r="J1128" s="16"/>
      <c r="K1128" s="5"/>
      <c r="L1128" s="5"/>
    </row>
    <row r="1129" spans="1:12" ht="15" customHeight="1">
      <c r="A1129" s="92"/>
      <c r="B1129" s="5"/>
      <c r="C1129" s="5"/>
      <c r="D1129" s="9"/>
      <c r="E1129" s="6"/>
      <c r="F1129" s="6"/>
      <c r="G1129" s="78"/>
      <c r="H1129" s="78"/>
      <c r="I1129" s="16"/>
      <c r="J1129" s="16"/>
      <c r="K1129" s="5"/>
      <c r="L1129" s="5"/>
    </row>
    <row r="1130" spans="1:12" ht="15" customHeight="1">
      <c r="A1130" s="92"/>
      <c r="B1130" s="5"/>
      <c r="C1130" s="5"/>
      <c r="D1130" s="9"/>
      <c r="E1130" s="6"/>
      <c r="F1130" s="6"/>
      <c r="G1130" s="78"/>
      <c r="H1130" s="78"/>
      <c r="I1130" s="16"/>
      <c r="J1130" s="16"/>
      <c r="K1130" s="5"/>
      <c r="L1130" s="5"/>
    </row>
    <row r="1131" spans="1:12" ht="15" customHeight="1">
      <c r="A1131" s="92"/>
      <c r="B1131" s="5"/>
      <c r="C1131" s="5"/>
      <c r="D1131" s="9"/>
      <c r="E1131" s="6"/>
      <c r="F1131" s="6"/>
      <c r="G1131" s="78"/>
      <c r="H1131" s="78"/>
      <c r="I1131" s="16"/>
      <c r="J1131" s="16"/>
      <c r="K1131" s="5"/>
      <c r="L1131" s="5"/>
    </row>
    <row r="1132" spans="1:12" ht="15" customHeight="1">
      <c r="A1132" s="92"/>
      <c r="B1132" s="5"/>
      <c r="C1132" s="5"/>
      <c r="D1132" s="9"/>
      <c r="E1132" s="6"/>
      <c r="F1132" s="6"/>
      <c r="G1132" s="78"/>
      <c r="H1132" s="78"/>
      <c r="I1132" s="16"/>
      <c r="J1132" s="16"/>
      <c r="K1132" s="5"/>
      <c r="L1132" s="5"/>
    </row>
    <row r="1133" spans="1:12" ht="15" customHeight="1">
      <c r="A1133" s="92"/>
      <c r="B1133" s="5"/>
      <c r="C1133" s="5"/>
      <c r="D1133" s="9"/>
      <c r="E1133" s="6"/>
      <c r="F1133" s="6"/>
      <c r="G1133" s="78"/>
      <c r="H1133" s="78"/>
      <c r="I1133" s="16"/>
      <c r="J1133" s="16"/>
      <c r="K1133" s="5"/>
      <c r="L1133" s="5"/>
    </row>
    <row r="1134" spans="1:12" ht="15" customHeight="1">
      <c r="A1134" s="92"/>
      <c r="B1134" s="5"/>
      <c r="C1134" s="5"/>
      <c r="D1134" s="9"/>
      <c r="E1134" s="6"/>
      <c r="F1134" s="6"/>
      <c r="G1134" s="78"/>
      <c r="H1134" s="78"/>
      <c r="I1134" s="16"/>
      <c r="J1134" s="16"/>
      <c r="K1134" s="5"/>
      <c r="L1134" s="5"/>
    </row>
    <row r="1135" spans="1:12" ht="15" customHeight="1">
      <c r="A1135" s="92"/>
      <c r="B1135" s="5"/>
      <c r="C1135" s="5"/>
      <c r="D1135" s="9"/>
      <c r="E1135" s="6"/>
      <c r="F1135" s="6"/>
      <c r="G1135" s="78"/>
      <c r="H1135" s="78"/>
      <c r="I1135" s="16"/>
      <c r="J1135" s="16"/>
      <c r="K1135" s="5"/>
      <c r="L1135" s="5"/>
    </row>
    <row r="1136" spans="1:12" ht="15" customHeight="1">
      <c r="A1136" s="92"/>
      <c r="B1136" s="5"/>
      <c r="C1136" s="5"/>
      <c r="D1136" s="9"/>
      <c r="E1136" s="6"/>
      <c r="F1136" s="6"/>
      <c r="G1136" s="78"/>
      <c r="H1136" s="78"/>
      <c r="I1136" s="16"/>
      <c r="J1136" s="16"/>
      <c r="K1136" s="5"/>
      <c r="L1136" s="5"/>
    </row>
    <row r="1137" spans="1:12" ht="15" customHeight="1">
      <c r="A1137" s="92"/>
      <c r="B1137" s="5"/>
      <c r="C1137" s="5"/>
      <c r="D1137" s="9"/>
      <c r="E1137" s="6"/>
      <c r="F1137" s="6"/>
      <c r="G1137" s="78"/>
      <c r="H1137" s="78"/>
      <c r="I1137" s="16"/>
      <c r="J1137" s="16"/>
      <c r="K1137" s="5"/>
      <c r="L1137" s="5"/>
    </row>
    <row r="1138" spans="1:12" ht="15" customHeight="1">
      <c r="A1138" s="92"/>
      <c r="B1138" s="5"/>
      <c r="C1138" s="5"/>
      <c r="D1138" s="9"/>
      <c r="E1138" s="6"/>
      <c r="F1138" s="6"/>
      <c r="G1138" s="78"/>
      <c r="H1138" s="78"/>
      <c r="I1138" s="16"/>
      <c r="J1138" s="16"/>
      <c r="K1138" s="5"/>
      <c r="L1138" s="5"/>
    </row>
    <row r="1139" spans="1:12" ht="15" customHeight="1">
      <c r="A1139" s="92"/>
      <c r="B1139" s="5"/>
      <c r="C1139" s="5"/>
      <c r="D1139" s="9"/>
      <c r="E1139" s="6"/>
      <c r="F1139" s="6"/>
      <c r="G1139" s="78"/>
      <c r="H1139" s="78"/>
      <c r="I1139" s="16"/>
      <c r="J1139" s="16"/>
      <c r="K1139" s="5"/>
      <c r="L1139" s="5"/>
    </row>
    <row r="1140" spans="1:12" ht="15" customHeight="1">
      <c r="A1140" s="92"/>
      <c r="B1140" s="5"/>
      <c r="C1140" s="5"/>
      <c r="D1140" s="9"/>
      <c r="E1140" s="6"/>
      <c r="F1140" s="6"/>
      <c r="G1140" s="78"/>
      <c r="H1140" s="78"/>
      <c r="I1140" s="16"/>
      <c r="J1140" s="16"/>
      <c r="K1140" s="5"/>
      <c r="L1140" s="5"/>
    </row>
    <row r="1141" spans="1:12" ht="15" customHeight="1">
      <c r="A1141" s="92"/>
      <c r="B1141" s="5"/>
      <c r="C1141" s="5"/>
      <c r="D1141" s="9"/>
      <c r="E1141" s="6"/>
      <c r="F1141" s="6"/>
      <c r="G1141" s="78"/>
      <c r="H1141" s="78"/>
      <c r="I1141" s="16"/>
      <c r="J1141" s="16"/>
      <c r="K1141" s="5"/>
      <c r="L1141" s="5"/>
    </row>
    <row r="1142" spans="1:12" ht="15" customHeight="1">
      <c r="A1142" s="92"/>
      <c r="B1142" s="5"/>
      <c r="C1142" s="5"/>
      <c r="D1142" s="9"/>
      <c r="E1142" s="6"/>
      <c r="F1142" s="6"/>
      <c r="G1142" s="78"/>
      <c r="H1142" s="78"/>
      <c r="I1142" s="16"/>
      <c r="J1142" s="16"/>
      <c r="K1142" s="5"/>
      <c r="L1142" s="5"/>
    </row>
    <row r="1143" spans="1:12" ht="15" customHeight="1">
      <c r="A1143" s="92"/>
      <c r="B1143" s="5"/>
      <c r="C1143" s="5"/>
      <c r="D1143" s="9"/>
      <c r="E1143" s="6"/>
      <c r="F1143" s="6"/>
      <c r="G1143" s="78"/>
      <c r="H1143" s="78"/>
      <c r="I1143" s="16"/>
      <c r="J1143" s="16"/>
      <c r="K1143" s="5"/>
      <c r="L1143" s="5"/>
    </row>
    <row r="1144" spans="1:12" ht="15" customHeight="1">
      <c r="A1144" s="92"/>
      <c r="B1144" s="5"/>
      <c r="C1144" s="5"/>
      <c r="D1144" s="9"/>
      <c r="E1144" s="6"/>
      <c r="F1144" s="6"/>
      <c r="G1144" s="78"/>
      <c r="H1144" s="78"/>
      <c r="I1144" s="16"/>
      <c r="J1144" s="16"/>
      <c r="K1144" s="5"/>
      <c r="L1144" s="5"/>
    </row>
    <row r="1145" spans="1:12" ht="15" customHeight="1">
      <c r="A1145" s="92"/>
      <c r="B1145" s="5"/>
      <c r="C1145" s="5"/>
      <c r="D1145" s="9"/>
      <c r="E1145" s="6"/>
      <c r="F1145" s="6"/>
      <c r="G1145" s="78"/>
      <c r="H1145" s="78"/>
      <c r="I1145" s="16"/>
      <c r="J1145" s="16"/>
      <c r="K1145" s="5"/>
      <c r="L1145" s="5"/>
    </row>
    <row r="1146" spans="1:12" ht="15" customHeight="1">
      <c r="A1146" s="92"/>
      <c r="B1146" s="5"/>
      <c r="C1146" s="5"/>
      <c r="D1146" s="9"/>
      <c r="E1146" s="6"/>
      <c r="F1146" s="6"/>
      <c r="G1146" s="78"/>
      <c r="H1146" s="78"/>
      <c r="I1146" s="16"/>
      <c r="J1146" s="16"/>
      <c r="K1146" s="5"/>
      <c r="L1146" s="5"/>
    </row>
    <row r="1147" spans="1:12" ht="15" customHeight="1">
      <c r="A1147" s="92"/>
      <c r="B1147" s="5"/>
      <c r="C1147" s="5"/>
      <c r="D1147" s="9"/>
      <c r="E1147" s="6"/>
      <c r="F1147" s="6"/>
      <c r="G1147" s="78"/>
      <c r="H1147" s="78"/>
      <c r="I1147" s="16"/>
      <c r="J1147" s="16"/>
      <c r="K1147" s="5"/>
      <c r="L1147" s="5"/>
    </row>
    <row r="1148" spans="1:12" ht="15" customHeight="1">
      <c r="A1148" s="92"/>
      <c r="B1148" s="5"/>
      <c r="C1148" s="5"/>
      <c r="D1148" s="9"/>
      <c r="E1148" s="6"/>
      <c r="F1148" s="6"/>
      <c r="G1148" s="78"/>
      <c r="H1148" s="78"/>
      <c r="I1148" s="16"/>
      <c r="J1148" s="16"/>
      <c r="K1148" s="5"/>
      <c r="L1148" s="5"/>
    </row>
    <row r="1149" spans="1:12" ht="15" customHeight="1">
      <c r="A1149" s="92"/>
      <c r="B1149" s="5"/>
      <c r="C1149" s="5"/>
      <c r="D1149" s="9"/>
      <c r="E1149" s="6"/>
      <c r="F1149" s="6"/>
      <c r="G1149" s="78"/>
      <c r="H1149" s="78"/>
      <c r="I1149" s="16"/>
      <c r="J1149" s="16"/>
      <c r="K1149" s="5"/>
      <c r="L1149" s="5"/>
    </row>
    <row r="1150" spans="1:12" ht="15" customHeight="1">
      <c r="A1150" s="92"/>
      <c r="B1150" s="5"/>
      <c r="C1150" s="5"/>
      <c r="D1150" s="9"/>
      <c r="E1150" s="6"/>
      <c r="F1150" s="6"/>
      <c r="G1150" s="78"/>
      <c r="H1150" s="78"/>
      <c r="I1150" s="16"/>
      <c r="J1150" s="16"/>
      <c r="K1150" s="5"/>
      <c r="L1150" s="5"/>
    </row>
    <row r="1151" spans="1:12" ht="15" customHeight="1">
      <c r="A1151" s="92"/>
      <c r="B1151" s="5"/>
      <c r="C1151" s="5"/>
      <c r="D1151" s="9"/>
      <c r="E1151" s="6"/>
      <c r="F1151" s="6"/>
      <c r="G1151" s="78"/>
      <c r="H1151" s="78"/>
      <c r="I1151" s="16"/>
      <c r="J1151" s="16"/>
      <c r="K1151" s="5"/>
      <c r="L1151" s="5"/>
    </row>
    <row r="1152" spans="1:12" ht="15" customHeight="1">
      <c r="A1152" s="92"/>
      <c r="B1152" s="5"/>
      <c r="C1152" s="5"/>
      <c r="D1152" s="9"/>
      <c r="E1152" s="6"/>
      <c r="F1152" s="6"/>
      <c r="G1152" s="78"/>
      <c r="H1152" s="78"/>
      <c r="I1152" s="16"/>
      <c r="J1152" s="16"/>
      <c r="K1152" s="5"/>
      <c r="L1152" s="5"/>
    </row>
    <row r="1153" spans="1:12" ht="15" customHeight="1">
      <c r="A1153" s="92"/>
      <c r="B1153" s="5"/>
      <c r="C1153" s="5"/>
      <c r="D1153" s="9"/>
      <c r="E1153" s="6"/>
      <c r="F1153" s="6"/>
      <c r="G1153" s="78"/>
      <c r="H1153" s="78"/>
      <c r="I1153" s="16"/>
      <c r="J1153" s="16"/>
      <c r="K1153" s="5"/>
      <c r="L1153" s="5"/>
    </row>
    <row r="1154" spans="1:12" ht="15" customHeight="1">
      <c r="A1154" s="92"/>
      <c r="B1154" s="5"/>
      <c r="C1154" s="5"/>
      <c r="D1154" s="9"/>
      <c r="E1154" s="6"/>
      <c r="F1154" s="6"/>
      <c r="G1154" s="78"/>
      <c r="H1154" s="78"/>
      <c r="I1154" s="16"/>
      <c r="J1154" s="16"/>
      <c r="K1154" s="5"/>
      <c r="L1154" s="5"/>
    </row>
    <row r="1155" spans="1:12" ht="15" customHeight="1">
      <c r="A1155" s="92"/>
      <c r="B1155" s="5"/>
      <c r="C1155" s="5"/>
      <c r="D1155" s="9"/>
      <c r="E1155" s="6"/>
      <c r="F1155" s="6"/>
      <c r="G1155" s="78"/>
      <c r="H1155" s="78"/>
      <c r="I1155" s="16"/>
      <c r="J1155" s="16"/>
      <c r="K1155" s="5"/>
      <c r="L1155" s="5"/>
    </row>
    <row r="1156" spans="1:12" ht="15" customHeight="1">
      <c r="A1156" s="92"/>
      <c r="B1156" s="5"/>
      <c r="C1156" s="5"/>
      <c r="D1156" s="9"/>
      <c r="E1156" s="6"/>
      <c r="F1156" s="6"/>
      <c r="G1156" s="78"/>
      <c r="H1156" s="78"/>
      <c r="I1156" s="16"/>
      <c r="J1156" s="16"/>
      <c r="K1156" s="5"/>
      <c r="L1156" s="5"/>
    </row>
    <row r="1157" spans="1:12" ht="15" customHeight="1">
      <c r="A1157" s="92"/>
      <c r="B1157" s="5"/>
      <c r="C1157" s="5"/>
      <c r="D1157" s="9"/>
      <c r="E1157" s="6"/>
      <c r="F1157" s="6"/>
      <c r="G1157" s="78"/>
      <c r="H1157" s="78"/>
      <c r="I1157" s="16"/>
      <c r="J1157" s="16"/>
      <c r="K1157" s="5"/>
      <c r="L1157" s="5"/>
    </row>
    <row r="1158" spans="1:12" ht="15" customHeight="1">
      <c r="A1158" s="92"/>
      <c r="B1158" s="5"/>
      <c r="C1158" s="5"/>
      <c r="D1158" s="9"/>
      <c r="E1158" s="6"/>
      <c r="F1158" s="6"/>
      <c r="G1158" s="78"/>
      <c r="H1158" s="78"/>
      <c r="I1158" s="16"/>
      <c r="J1158" s="16"/>
      <c r="K1158" s="5"/>
      <c r="L1158" s="5"/>
    </row>
    <row r="1159" spans="1:12" ht="15" customHeight="1">
      <c r="A1159" s="92"/>
      <c r="B1159" s="5"/>
      <c r="C1159" s="5"/>
      <c r="D1159" s="9"/>
      <c r="E1159" s="6"/>
      <c r="F1159" s="6"/>
      <c r="G1159" s="78"/>
      <c r="H1159" s="78"/>
      <c r="I1159" s="16"/>
      <c r="J1159" s="16"/>
      <c r="K1159" s="5"/>
      <c r="L1159" s="5"/>
    </row>
    <row r="1160" spans="1:12" ht="15" customHeight="1">
      <c r="A1160" s="92"/>
      <c r="B1160" s="5"/>
      <c r="C1160" s="5"/>
      <c r="D1160" s="9"/>
      <c r="E1160" s="6"/>
      <c r="F1160" s="6"/>
      <c r="G1160" s="78"/>
      <c r="H1160" s="78"/>
      <c r="I1160" s="16"/>
      <c r="J1160" s="16"/>
      <c r="K1160" s="5"/>
      <c r="L1160" s="5"/>
    </row>
    <row r="1161" spans="1:12" ht="15" customHeight="1">
      <c r="A1161" s="92"/>
      <c r="B1161" s="5"/>
      <c r="C1161" s="5"/>
      <c r="D1161" s="9"/>
      <c r="E1161" s="6"/>
      <c r="F1161" s="6"/>
      <c r="G1161" s="78"/>
      <c r="H1161" s="78"/>
      <c r="I1161" s="16"/>
      <c r="J1161" s="16"/>
      <c r="K1161" s="5"/>
      <c r="L1161" s="5"/>
    </row>
    <row r="1162" spans="1:12" ht="15" customHeight="1">
      <c r="A1162" s="92"/>
      <c r="B1162" s="5"/>
      <c r="C1162" s="5"/>
      <c r="D1162" s="9"/>
      <c r="E1162" s="6"/>
      <c r="F1162" s="6"/>
      <c r="G1162" s="78"/>
      <c r="H1162" s="78"/>
      <c r="I1162" s="16"/>
      <c r="J1162" s="16"/>
      <c r="K1162" s="5"/>
      <c r="L1162" s="5"/>
    </row>
    <row r="1163" spans="1:12" ht="15" customHeight="1">
      <c r="A1163" s="92"/>
      <c r="B1163" s="5"/>
      <c r="C1163" s="5"/>
      <c r="D1163" s="9"/>
      <c r="E1163" s="6"/>
      <c r="F1163" s="6"/>
      <c r="G1163" s="78"/>
      <c r="H1163" s="78"/>
      <c r="I1163" s="16"/>
      <c r="J1163" s="16"/>
      <c r="K1163" s="5"/>
      <c r="L1163" s="5"/>
    </row>
    <row r="1164" spans="1:12" ht="15" customHeight="1">
      <c r="A1164" s="92"/>
      <c r="B1164" s="5"/>
      <c r="C1164" s="5"/>
      <c r="D1164" s="9"/>
      <c r="E1164" s="6"/>
      <c r="F1164" s="6"/>
      <c r="G1164" s="78"/>
      <c r="H1164" s="78"/>
      <c r="I1164" s="16"/>
      <c r="J1164" s="16"/>
      <c r="K1164" s="5"/>
      <c r="L1164" s="5"/>
    </row>
    <row r="1165" spans="1:12" ht="15" customHeight="1">
      <c r="A1165" s="92"/>
      <c r="B1165" s="5"/>
      <c r="C1165" s="5"/>
      <c r="D1165" s="9"/>
      <c r="E1165" s="6"/>
      <c r="F1165" s="6"/>
      <c r="G1165" s="78"/>
      <c r="H1165" s="78"/>
      <c r="I1165" s="16"/>
      <c r="J1165" s="16"/>
      <c r="K1165" s="5"/>
      <c r="L1165" s="5"/>
    </row>
    <row r="1166" spans="1:12" ht="15" customHeight="1">
      <c r="A1166" s="92"/>
      <c r="B1166" s="5"/>
      <c r="C1166" s="5"/>
      <c r="D1166" s="9"/>
      <c r="E1166" s="6"/>
      <c r="F1166" s="6"/>
      <c r="G1166" s="78"/>
      <c r="H1166" s="78"/>
      <c r="I1166" s="16"/>
      <c r="J1166" s="16"/>
      <c r="K1166" s="5"/>
      <c r="L1166" s="5"/>
    </row>
    <row r="1167" spans="1:12" ht="15" customHeight="1">
      <c r="A1167" s="92"/>
      <c r="B1167" s="5"/>
      <c r="C1167" s="5"/>
      <c r="D1167" s="9"/>
      <c r="E1167" s="6"/>
      <c r="F1167" s="6"/>
      <c r="G1167" s="78"/>
      <c r="H1167" s="78"/>
      <c r="I1167" s="16"/>
      <c r="J1167" s="16"/>
      <c r="K1167" s="5"/>
      <c r="L1167" s="5"/>
    </row>
    <row r="1168" spans="1:12" ht="15" customHeight="1">
      <c r="A1168" s="92"/>
      <c r="B1168" s="5"/>
      <c r="C1168" s="5"/>
      <c r="D1168" s="9"/>
      <c r="E1168" s="6"/>
      <c r="F1168" s="6"/>
      <c r="G1168" s="78"/>
      <c r="H1168" s="78"/>
      <c r="I1168" s="16"/>
      <c r="J1168" s="16"/>
      <c r="K1168" s="5"/>
      <c r="L1168" s="5"/>
    </row>
    <row r="1169" spans="1:12" ht="15" customHeight="1">
      <c r="A1169" s="92"/>
      <c r="B1169" s="5"/>
      <c r="C1169" s="5"/>
      <c r="D1169" s="9"/>
      <c r="E1169" s="6"/>
      <c r="F1169" s="6"/>
      <c r="G1169" s="78"/>
      <c r="H1169" s="78"/>
      <c r="I1169" s="16"/>
      <c r="J1169" s="16"/>
      <c r="K1169" s="5"/>
      <c r="L1169" s="5"/>
    </row>
    <row r="1170" spans="1:12" ht="15" customHeight="1">
      <c r="A1170" s="92"/>
      <c r="B1170" s="5"/>
      <c r="C1170" s="5"/>
      <c r="D1170" s="9"/>
      <c r="E1170" s="6"/>
      <c r="F1170" s="6"/>
      <c r="G1170" s="78"/>
      <c r="H1170" s="78"/>
      <c r="I1170" s="16"/>
      <c r="J1170" s="16"/>
      <c r="K1170" s="5"/>
      <c r="L1170" s="5"/>
    </row>
    <row r="1171" spans="1:12" ht="15" customHeight="1">
      <c r="A1171" s="92"/>
      <c r="B1171" s="5"/>
      <c r="C1171" s="5"/>
      <c r="D1171" s="9"/>
      <c r="E1171" s="6"/>
      <c r="F1171" s="6"/>
      <c r="G1171" s="78"/>
      <c r="H1171" s="78"/>
      <c r="I1171" s="16"/>
      <c r="J1171" s="16"/>
      <c r="K1171" s="5"/>
      <c r="L1171" s="5"/>
    </row>
    <row r="1172" spans="1:12" ht="15" customHeight="1">
      <c r="A1172" s="92"/>
      <c r="B1172" s="5"/>
      <c r="C1172" s="5"/>
      <c r="D1172" s="9"/>
      <c r="E1172" s="6"/>
      <c r="F1172" s="6"/>
      <c r="G1172" s="78"/>
      <c r="H1172" s="78"/>
      <c r="I1172" s="16"/>
      <c r="J1172" s="16"/>
      <c r="K1172" s="5"/>
      <c r="L1172" s="5"/>
    </row>
    <row r="1173" spans="1:12" ht="15" customHeight="1">
      <c r="A1173" s="92"/>
      <c r="B1173" s="5"/>
      <c r="C1173" s="5"/>
      <c r="D1173" s="9"/>
      <c r="E1173" s="6"/>
      <c r="F1173" s="6"/>
      <c r="G1173" s="78"/>
      <c r="H1173" s="78"/>
      <c r="I1173" s="16"/>
      <c r="J1173" s="16"/>
      <c r="K1173" s="5"/>
      <c r="L1173" s="5"/>
    </row>
    <row r="1174" spans="1:12" ht="15" customHeight="1">
      <c r="A1174" s="92"/>
      <c r="B1174" s="5"/>
      <c r="C1174" s="5"/>
      <c r="D1174" s="9"/>
      <c r="E1174" s="6"/>
      <c r="F1174" s="6"/>
      <c r="G1174" s="78"/>
      <c r="H1174" s="78"/>
      <c r="I1174" s="16"/>
      <c r="J1174" s="16"/>
      <c r="K1174" s="5"/>
      <c r="L1174" s="5"/>
    </row>
    <row r="1175" spans="1:12" ht="15" customHeight="1">
      <c r="A1175" s="92"/>
      <c r="B1175" s="5"/>
      <c r="C1175" s="5"/>
      <c r="D1175" s="9"/>
      <c r="E1175" s="6"/>
      <c r="F1175" s="6"/>
      <c r="G1175" s="78"/>
      <c r="H1175" s="78"/>
      <c r="I1175" s="16"/>
      <c r="J1175" s="16"/>
      <c r="K1175" s="5"/>
      <c r="L1175" s="5"/>
    </row>
    <row r="1176" spans="1:12" ht="15" customHeight="1">
      <c r="A1176" s="92"/>
      <c r="B1176" s="5"/>
      <c r="C1176" s="5"/>
      <c r="D1176" s="9"/>
      <c r="E1176" s="6"/>
      <c r="F1176" s="6"/>
      <c r="G1176" s="78"/>
      <c r="H1176" s="78"/>
      <c r="I1176" s="16"/>
      <c r="J1176" s="16"/>
      <c r="K1176" s="5"/>
      <c r="L1176" s="5"/>
    </row>
    <row r="1177" spans="1:12" ht="15" customHeight="1">
      <c r="A1177" s="92"/>
      <c r="B1177" s="5"/>
      <c r="C1177" s="5"/>
      <c r="D1177" s="9"/>
      <c r="E1177" s="6"/>
      <c r="F1177" s="6"/>
      <c r="G1177" s="78"/>
      <c r="H1177" s="78"/>
      <c r="I1177" s="16"/>
      <c r="J1177" s="16"/>
      <c r="K1177" s="5"/>
      <c r="L1177" s="5"/>
    </row>
    <row r="1178" spans="1:12" ht="15" customHeight="1">
      <c r="A1178" s="92"/>
      <c r="B1178" s="5"/>
      <c r="C1178" s="5"/>
      <c r="D1178" s="9"/>
      <c r="E1178" s="6"/>
      <c r="F1178" s="6"/>
      <c r="G1178" s="78"/>
      <c r="H1178" s="78"/>
      <c r="I1178" s="16"/>
      <c r="J1178" s="16"/>
      <c r="K1178" s="5"/>
      <c r="L1178" s="5"/>
    </row>
    <row r="1179" spans="1:12" ht="15" customHeight="1">
      <c r="A1179" s="92"/>
      <c r="B1179" s="5"/>
      <c r="C1179" s="5"/>
      <c r="D1179" s="9"/>
      <c r="E1179" s="6"/>
      <c r="F1179" s="6"/>
      <c r="G1179" s="78"/>
      <c r="H1179" s="78"/>
      <c r="I1179" s="16"/>
      <c r="J1179" s="16"/>
      <c r="K1179" s="5"/>
      <c r="L1179" s="5"/>
    </row>
    <row r="1180" spans="1:12" ht="15" customHeight="1">
      <c r="A1180" s="92"/>
      <c r="B1180" s="5"/>
      <c r="C1180" s="5"/>
      <c r="D1180" s="9"/>
      <c r="E1180" s="6"/>
      <c r="F1180" s="6"/>
      <c r="G1180" s="78"/>
      <c r="H1180" s="78"/>
      <c r="I1180" s="16"/>
      <c r="J1180" s="16"/>
      <c r="K1180" s="5"/>
      <c r="L1180" s="5"/>
    </row>
    <row r="1181" spans="1:12" ht="15" customHeight="1">
      <c r="A1181" s="92"/>
      <c r="B1181" s="5"/>
      <c r="C1181" s="5"/>
      <c r="D1181" s="9"/>
      <c r="E1181" s="6"/>
      <c r="F1181" s="6"/>
      <c r="G1181" s="78"/>
      <c r="H1181" s="78"/>
      <c r="I1181" s="16"/>
      <c r="J1181" s="16"/>
      <c r="K1181" s="5"/>
      <c r="L1181" s="5"/>
    </row>
    <row r="1182" spans="1:12" ht="15" customHeight="1">
      <c r="A1182" s="92"/>
      <c r="B1182" s="5"/>
      <c r="C1182" s="5"/>
      <c r="D1182" s="9"/>
      <c r="E1182" s="6"/>
      <c r="F1182" s="6"/>
      <c r="G1182" s="78"/>
      <c r="H1182" s="78"/>
      <c r="I1182" s="16"/>
      <c r="J1182" s="16"/>
      <c r="K1182" s="5"/>
      <c r="L1182" s="5"/>
    </row>
    <row r="1183" spans="1:12" ht="15" customHeight="1">
      <c r="A1183" s="92"/>
      <c r="B1183" s="5"/>
      <c r="C1183" s="5"/>
      <c r="D1183" s="9"/>
      <c r="E1183" s="6"/>
      <c r="F1183" s="6"/>
      <c r="G1183" s="78"/>
      <c r="H1183" s="78"/>
      <c r="I1183" s="16"/>
      <c r="J1183" s="16"/>
      <c r="K1183" s="5"/>
      <c r="L1183" s="5"/>
    </row>
    <row r="1184" spans="1:12" ht="15" customHeight="1">
      <c r="A1184" s="92"/>
      <c r="B1184" s="5"/>
      <c r="C1184" s="5"/>
      <c r="D1184" s="9"/>
      <c r="E1184" s="6"/>
      <c r="F1184" s="6"/>
      <c r="G1184" s="78"/>
      <c r="H1184" s="78"/>
      <c r="I1184" s="16"/>
      <c r="J1184" s="16"/>
      <c r="K1184" s="5"/>
      <c r="L1184" s="5"/>
    </row>
    <row r="1185" spans="1:12" ht="15" customHeight="1">
      <c r="A1185" s="92"/>
      <c r="B1185" s="5"/>
      <c r="C1185" s="5"/>
      <c r="D1185" s="9"/>
      <c r="E1185" s="6"/>
      <c r="F1185" s="6"/>
      <c r="G1185" s="78"/>
      <c r="H1185" s="78"/>
      <c r="I1185" s="16"/>
      <c r="J1185" s="16"/>
      <c r="K1185" s="5"/>
      <c r="L1185" s="5"/>
    </row>
    <row r="1186" spans="1:12" ht="15" customHeight="1">
      <c r="A1186" s="92"/>
      <c r="B1186" s="5"/>
      <c r="C1186" s="5"/>
      <c r="D1186" s="9"/>
      <c r="E1186" s="6"/>
      <c r="F1186" s="6"/>
      <c r="G1186" s="78"/>
      <c r="H1186" s="78"/>
      <c r="I1186" s="16"/>
      <c r="J1186" s="16"/>
      <c r="K1186" s="5"/>
      <c r="L1186" s="5"/>
    </row>
    <row r="1187" spans="1:12" ht="15" customHeight="1">
      <c r="A1187" s="92"/>
      <c r="B1187" s="5"/>
      <c r="C1187" s="5"/>
      <c r="D1187" s="9"/>
      <c r="E1187" s="6"/>
      <c r="F1187" s="6"/>
      <c r="G1187" s="78"/>
      <c r="H1187" s="78"/>
      <c r="I1187" s="16"/>
      <c r="J1187" s="16"/>
      <c r="K1187" s="5"/>
      <c r="L1187" s="5"/>
    </row>
    <row r="1188" spans="1:12" ht="15" customHeight="1">
      <c r="A1188" s="92"/>
      <c r="B1188" s="5"/>
      <c r="C1188" s="5"/>
      <c r="D1188" s="9"/>
      <c r="E1188" s="6"/>
      <c r="F1188" s="6"/>
      <c r="G1188" s="78"/>
      <c r="H1188" s="78"/>
      <c r="I1188" s="16"/>
      <c r="J1188" s="16"/>
      <c r="K1188" s="5"/>
      <c r="L1188" s="5"/>
    </row>
    <row r="1189" spans="1:12" ht="15" customHeight="1">
      <c r="A1189" s="92"/>
      <c r="B1189" s="5"/>
      <c r="C1189" s="5"/>
      <c r="D1189" s="9"/>
      <c r="E1189" s="6"/>
      <c r="F1189" s="6"/>
      <c r="G1189" s="78"/>
      <c r="H1189" s="78"/>
      <c r="I1189" s="16"/>
      <c r="J1189" s="16"/>
      <c r="K1189" s="5"/>
      <c r="L1189" s="5"/>
    </row>
    <row r="1190" spans="1:12" ht="15" customHeight="1">
      <c r="A1190" s="92"/>
      <c r="B1190" s="5"/>
      <c r="C1190" s="5"/>
      <c r="D1190" s="9"/>
      <c r="E1190" s="6"/>
      <c r="F1190" s="6"/>
      <c r="G1190" s="78"/>
      <c r="H1190" s="78"/>
      <c r="I1190" s="16"/>
      <c r="J1190" s="16"/>
      <c r="K1190" s="5"/>
      <c r="L1190" s="5"/>
    </row>
    <row r="1191" spans="1:12" ht="15" customHeight="1">
      <c r="A1191" s="92"/>
      <c r="B1191" s="5"/>
      <c r="C1191" s="5"/>
      <c r="D1191" s="9"/>
      <c r="E1191" s="6"/>
      <c r="F1191" s="6"/>
      <c r="G1191" s="78"/>
      <c r="H1191" s="78"/>
      <c r="I1191" s="16"/>
      <c r="J1191" s="16"/>
      <c r="K1191" s="5"/>
      <c r="L1191" s="5"/>
    </row>
    <row r="1192" spans="1:12" ht="15" customHeight="1">
      <c r="A1192" s="92"/>
      <c r="B1192" s="5"/>
      <c r="C1192" s="5"/>
      <c r="D1192" s="9"/>
      <c r="E1192" s="6"/>
      <c r="F1192" s="6"/>
      <c r="G1192" s="78"/>
      <c r="H1192" s="78"/>
      <c r="I1192" s="16"/>
      <c r="J1192" s="16"/>
      <c r="K1192" s="5"/>
      <c r="L1192" s="5"/>
    </row>
    <row r="1193" spans="1:12" ht="15" customHeight="1">
      <c r="A1193" s="92"/>
      <c r="B1193" s="5"/>
      <c r="C1193" s="5"/>
      <c r="D1193" s="9"/>
      <c r="E1193" s="6"/>
      <c r="F1193" s="6"/>
      <c r="G1193" s="78"/>
      <c r="H1193" s="78"/>
      <c r="I1193" s="16"/>
      <c r="J1193" s="16"/>
      <c r="K1193" s="5"/>
      <c r="L1193" s="5"/>
    </row>
    <row r="1194" spans="1:12" ht="15" customHeight="1">
      <c r="A1194" s="92"/>
      <c r="B1194" s="5"/>
      <c r="C1194" s="5"/>
      <c r="D1194" s="9"/>
      <c r="E1194" s="6"/>
      <c r="F1194" s="6"/>
      <c r="G1194" s="78"/>
      <c r="H1194" s="78"/>
      <c r="I1194" s="16"/>
      <c r="J1194" s="16"/>
      <c r="K1194" s="5"/>
      <c r="L1194" s="5"/>
    </row>
    <row r="1195" spans="1:12" ht="15" customHeight="1">
      <c r="A1195" s="92"/>
      <c r="B1195" s="5"/>
      <c r="C1195" s="5"/>
      <c r="D1195" s="9"/>
      <c r="E1195" s="6"/>
      <c r="F1195" s="6"/>
      <c r="G1195" s="78"/>
      <c r="H1195" s="78"/>
      <c r="I1195" s="16"/>
      <c r="J1195" s="16"/>
      <c r="K1195" s="5"/>
      <c r="L1195" s="5"/>
    </row>
    <row r="1196" spans="1:12" ht="15" customHeight="1">
      <c r="A1196" s="92"/>
      <c r="B1196" s="5"/>
      <c r="C1196" s="5"/>
      <c r="D1196" s="9"/>
      <c r="E1196" s="6"/>
      <c r="F1196" s="6"/>
      <c r="G1196" s="78"/>
      <c r="H1196" s="78"/>
      <c r="I1196" s="16"/>
      <c r="J1196" s="16"/>
      <c r="K1196" s="5"/>
      <c r="L1196" s="5"/>
    </row>
    <row r="1197" spans="1:12" ht="15" customHeight="1">
      <c r="A1197" s="92"/>
      <c r="B1197" s="5"/>
      <c r="C1197" s="5"/>
      <c r="D1197" s="9"/>
      <c r="E1197" s="6"/>
      <c r="F1197" s="6"/>
      <c r="G1197" s="78"/>
      <c r="H1197" s="78"/>
      <c r="I1197" s="16"/>
      <c r="J1197" s="16"/>
      <c r="K1197" s="5"/>
      <c r="L1197" s="5"/>
    </row>
    <row r="1198" spans="1:12" ht="15" customHeight="1">
      <c r="A1198" s="92"/>
      <c r="B1198" s="5"/>
      <c r="C1198" s="5"/>
      <c r="D1198" s="9"/>
      <c r="E1198" s="6"/>
      <c r="F1198" s="6"/>
      <c r="G1198" s="78"/>
      <c r="H1198" s="78"/>
      <c r="I1198" s="16"/>
      <c r="J1198" s="16"/>
      <c r="K1198" s="5"/>
      <c r="L1198" s="5"/>
    </row>
    <row r="1199" spans="1:12" ht="15" customHeight="1">
      <c r="A1199" s="92"/>
      <c r="B1199" s="5"/>
      <c r="C1199" s="5"/>
      <c r="D1199" s="9"/>
      <c r="E1199" s="6"/>
      <c r="F1199" s="6"/>
      <c r="G1199" s="78"/>
      <c r="H1199" s="78"/>
      <c r="I1199" s="16"/>
      <c r="J1199" s="16"/>
      <c r="K1199" s="5"/>
      <c r="L1199" s="5"/>
    </row>
    <row r="1200" spans="1:12" ht="15" customHeight="1">
      <c r="A1200" s="92"/>
      <c r="B1200" s="5"/>
      <c r="C1200" s="5"/>
      <c r="D1200" s="9"/>
      <c r="E1200" s="6"/>
      <c r="F1200" s="6"/>
      <c r="G1200" s="78"/>
      <c r="H1200" s="78"/>
      <c r="I1200" s="16"/>
      <c r="J1200" s="16"/>
      <c r="K1200" s="5"/>
      <c r="L1200" s="5"/>
    </row>
    <row r="1201" spans="1:12" ht="15" customHeight="1">
      <c r="A1201" s="92"/>
      <c r="B1201" s="5"/>
      <c r="C1201" s="5"/>
      <c r="D1201" s="9"/>
      <c r="E1201" s="6"/>
      <c r="F1201" s="6"/>
      <c r="G1201" s="78"/>
      <c r="H1201" s="78"/>
      <c r="I1201" s="16"/>
      <c r="J1201" s="16"/>
      <c r="K1201" s="5"/>
      <c r="L1201" s="5"/>
    </row>
    <row r="1202" spans="1:12" ht="15" customHeight="1">
      <c r="A1202" s="92"/>
      <c r="B1202" s="5"/>
      <c r="C1202" s="5"/>
      <c r="D1202" s="9"/>
      <c r="E1202" s="6"/>
      <c r="F1202" s="6"/>
      <c r="G1202" s="78"/>
      <c r="H1202" s="78"/>
      <c r="I1202" s="16"/>
      <c r="J1202" s="16"/>
      <c r="K1202" s="5"/>
      <c r="L1202" s="5"/>
    </row>
    <row r="1203" spans="1:12" ht="15" customHeight="1">
      <c r="A1203" s="92"/>
      <c r="B1203" s="5"/>
      <c r="C1203" s="5"/>
      <c r="D1203" s="9"/>
      <c r="E1203" s="6"/>
      <c r="F1203" s="6"/>
      <c r="G1203" s="78"/>
      <c r="H1203" s="78"/>
      <c r="I1203" s="16"/>
      <c r="J1203" s="16"/>
      <c r="K1203" s="5"/>
      <c r="L1203" s="5"/>
    </row>
    <row r="1204" spans="1:12" ht="15" customHeight="1">
      <c r="A1204" s="92"/>
      <c r="B1204" s="5"/>
      <c r="C1204" s="5"/>
      <c r="D1204" s="9"/>
      <c r="E1204" s="6"/>
      <c r="F1204" s="6"/>
      <c r="G1204" s="78"/>
      <c r="H1204" s="78"/>
      <c r="I1204" s="16"/>
      <c r="J1204" s="16"/>
      <c r="K1204" s="5"/>
      <c r="L1204" s="5"/>
    </row>
    <row r="1205" spans="1:12" ht="15" customHeight="1">
      <c r="A1205" s="92"/>
      <c r="B1205" s="5"/>
      <c r="C1205" s="5"/>
      <c r="D1205" s="9"/>
      <c r="E1205" s="6"/>
      <c r="F1205" s="6"/>
      <c r="G1205" s="78"/>
      <c r="H1205" s="78"/>
      <c r="I1205" s="16"/>
      <c r="J1205" s="16"/>
      <c r="K1205" s="5"/>
      <c r="L1205" s="5"/>
    </row>
    <row r="1206" spans="1:12" ht="15" customHeight="1">
      <c r="A1206" s="92"/>
      <c r="B1206" s="5"/>
      <c r="C1206" s="5"/>
      <c r="D1206" s="9"/>
      <c r="E1206" s="6"/>
      <c r="F1206" s="6"/>
      <c r="G1206" s="78"/>
      <c r="H1206" s="78"/>
      <c r="I1206" s="16"/>
      <c r="J1206" s="16"/>
      <c r="K1206" s="5"/>
      <c r="L1206" s="5"/>
    </row>
    <row r="1207" spans="1:12" ht="15" customHeight="1">
      <c r="A1207" s="92"/>
      <c r="B1207" s="5"/>
      <c r="C1207" s="5"/>
      <c r="D1207" s="9"/>
      <c r="E1207" s="6"/>
      <c r="F1207" s="6"/>
      <c r="G1207" s="78"/>
      <c r="H1207" s="78"/>
      <c r="I1207" s="16"/>
      <c r="J1207" s="16"/>
      <c r="K1207" s="5"/>
      <c r="L1207" s="5"/>
    </row>
    <row r="1208" spans="1:12" ht="15" customHeight="1">
      <c r="A1208" s="92"/>
      <c r="B1208" s="5"/>
      <c r="C1208" s="5"/>
      <c r="D1208" s="9"/>
      <c r="E1208" s="6"/>
      <c r="F1208" s="6"/>
      <c r="G1208" s="78"/>
      <c r="H1208" s="78"/>
      <c r="I1208" s="16"/>
      <c r="J1208" s="16"/>
      <c r="K1208" s="5"/>
      <c r="L1208" s="5"/>
    </row>
    <row r="1209" spans="1:12" ht="15" customHeight="1">
      <c r="A1209" s="92"/>
      <c r="B1209" s="5"/>
      <c r="C1209" s="5"/>
      <c r="D1209" s="9"/>
      <c r="E1209" s="6"/>
      <c r="F1209" s="6"/>
      <c r="G1209" s="78"/>
      <c r="H1209" s="78"/>
      <c r="I1209" s="16"/>
      <c r="J1209" s="16"/>
      <c r="K1209" s="5"/>
      <c r="L1209" s="5"/>
    </row>
    <row r="1210" spans="1:12" ht="15" customHeight="1">
      <c r="A1210" s="92"/>
      <c r="B1210" s="5"/>
      <c r="C1210" s="5"/>
      <c r="D1210" s="9"/>
      <c r="E1210" s="6"/>
      <c r="F1210" s="6"/>
      <c r="G1210" s="78"/>
      <c r="H1210" s="78"/>
      <c r="I1210" s="16"/>
      <c r="J1210" s="16"/>
      <c r="K1210" s="5"/>
      <c r="L1210" s="5"/>
    </row>
    <row r="1211" spans="1:12" ht="15" customHeight="1">
      <c r="A1211" s="92"/>
      <c r="B1211" s="5"/>
      <c r="C1211" s="5"/>
      <c r="D1211" s="9"/>
      <c r="E1211" s="6"/>
      <c r="F1211" s="6"/>
      <c r="G1211" s="78"/>
      <c r="H1211" s="78"/>
      <c r="I1211" s="16"/>
      <c r="J1211" s="16"/>
      <c r="K1211" s="5"/>
      <c r="L1211" s="5"/>
    </row>
    <row r="1212" spans="1:12" ht="15" customHeight="1">
      <c r="A1212" s="92"/>
      <c r="B1212" s="5"/>
      <c r="C1212" s="5"/>
      <c r="D1212" s="9"/>
      <c r="E1212" s="6"/>
      <c r="F1212" s="6"/>
      <c r="G1212" s="78"/>
      <c r="H1212" s="78"/>
      <c r="I1212" s="16"/>
      <c r="J1212" s="16"/>
      <c r="K1212" s="5"/>
      <c r="L1212" s="5"/>
    </row>
    <row r="1213" spans="1:12" ht="15" customHeight="1">
      <c r="A1213" s="92"/>
      <c r="B1213" s="5"/>
      <c r="C1213" s="5"/>
      <c r="D1213" s="9"/>
      <c r="E1213" s="6"/>
      <c r="F1213" s="6"/>
      <c r="G1213" s="78"/>
      <c r="H1213" s="78"/>
      <c r="I1213" s="16"/>
      <c r="J1213" s="16"/>
      <c r="K1213" s="5"/>
      <c r="L1213" s="5"/>
    </row>
    <row r="1214" spans="1:12" ht="15" customHeight="1">
      <c r="A1214" s="92"/>
      <c r="B1214" s="5"/>
      <c r="C1214" s="5"/>
      <c r="D1214" s="9"/>
      <c r="E1214" s="6"/>
      <c r="F1214" s="6"/>
      <c r="G1214" s="78"/>
      <c r="H1214" s="78"/>
      <c r="I1214" s="16"/>
      <c r="J1214" s="16"/>
      <c r="K1214" s="5"/>
      <c r="L1214" s="5"/>
    </row>
    <row r="1215" spans="1:12" ht="15" customHeight="1">
      <c r="A1215" s="92"/>
      <c r="B1215" s="5"/>
      <c r="C1215" s="5"/>
      <c r="D1215" s="9"/>
      <c r="E1215" s="6"/>
      <c r="F1215" s="6"/>
      <c r="G1215" s="78"/>
      <c r="H1215" s="78"/>
      <c r="I1215" s="16"/>
      <c r="J1215" s="16"/>
      <c r="K1215" s="5"/>
      <c r="L1215" s="5"/>
    </row>
    <row r="1216" spans="1:12" ht="15" customHeight="1">
      <c r="A1216" s="92"/>
      <c r="B1216" s="5"/>
      <c r="C1216" s="5"/>
      <c r="D1216" s="9"/>
      <c r="E1216" s="6"/>
      <c r="F1216" s="6"/>
      <c r="G1216" s="78"/>
      <c r="H1216" s="78"/>
      <c r="I1216" s="16"/>
      <c r="J1216" s="16"/>
      <c r="K1216" s="5"/>
      <c r="L1216" s="5"/>
    </row>
    <row r="1217" spans="1:12" ht="15" customHeight="1">
      <c r="A1217" s="92"/>
      <c r="B1217" s="5"/>
      <c r="C1217" s="5"/>
      <c r="D1217" s="9"/>
      <c r="E1217" s="6"/>
      <c r="F1217" s="6"/>
      <c r="G1217" s="78"/>
      <c r="H1217" s="78"/>
      <c r="I1217" s="16"/>
      <c r="J1217" s="16"/>
      <c r="K1217" s="5"/>
      <c r="L1217" s="5"/>
    </row>
    <row r="1218" spans="1:12" ht="15" customHeight="1">
      <c r="A1218" s="92"/>
      <c r="B1218" s="5"/>
      <c r="C1218" s="5"/>
      <c r="D1218" s="9"/>
      <c r="E1218" s="6"/>
      <c r="F1218" s="6"/>
      <c r="G1218" s="78"/>
      <c r="H1218" s="78"/>
      <c r="I1218" s="16"/>
      <c r="J1218" s="16"/>
      <c r="K1218" s="5"/>
      <c r="L1218" s="5"/>
    </row>
    <row r="1219" spans="1:12" ht="15" customHeight="1">
      <c r="A1219" s="92"/>
      <c r="B1219" s="5"/>
      <c r="C1219" s="5"/>
      <c r="D1219" s="9"/>
      <c r="E1219" s="6"/>
      <c r="F1219" s="6"/>
      <c r="G1219" s="78"/>
      <c r="H1219" s="78"/>
      <c r="I1219" s="16"/>
      <c r="J1219" s="16"/>
      <c r="K1219" s="5"/>
      <c r="L1219" s="5"/>
    </row>
    <row r="1220" spans="1:12" ht="15" customHeight="1">
      <c r="A1220" s="92"/>
      <c r="B1220" s="5"/>
      <c r="C1220" s="5"/>
      <c r="D1220" s="9"/>
      <c r="E1220" s="6"/>
      <c r="F1220" s="6"/>
      <c r="G1220" s="78"/>
      <c r="H1220" s="78"/>
      <c r="I1220" s="16"/>
      <c r="J1220" s="16"/>
      <c r="K1220" s="5"/>
      <c r="L1220" s="5"/>
    </row>
    <row r="1221" spans="1:12" ht="15" customHeight="1">
      <c r="A1221" s="92"/>
      <c r="B1221" s="5"/>
      <c r="C1221" s="5"/>
      <c r="D1221" s="9"/>
      <c r="E1221" s="6"/>
      <c r="F1221" s="6"/>
      <c r="G1221" s="78"/>
      <c r="H1221" s="78"/>
      <c r="I1221" s="16"/>
      <c r="J1221" s="16"/>
      <c r="K1221" s="5"/>
      <c r="L1221" s="5"/>
    </row>
    <row r="1222" spans="1:12" ht="15" customHeight="1">
      <c r="A1222" s="92"/>
      <c r="B1222" s="5"/>
      <c r="C1222" s="5"/>
      <c r="D1222" s="9"/>
      <c r="E1222" s="6"/>
      <c r="F1222" s="6"/>
      <c r="G1222" s="78"/>
      <c r="H1222" s="78"/>
      <c r="I1222" s="16"/>
      <c r="J1222" s="16"/>
      <c r="K1222" s="5"/>
      <c r="L1222" s="5"/>
    </row>
    <row r="1223" spans="1:12" ht="15" customHeight="1">
      <c r="A1223" s="92"/>
      <c r="B1223" s="5"/>
      <c r="C1223" s="5"/>
      <c r="D1223" s="9"/>
      <c r="E1223" s="6"/>
      <c r="F1223" s="6"/>
      <c r="G1223" s="78"/>
      <c r="H1223" s="78"/>
      <c r="I1223" s="16"/>
      <c r="J1223" s="16"/>
      <c r="K1223" s="5"/>
      <c r="L1223" s="5"/>
    </row>
    <row r="1224" spans="1:12" ht="15" customHeight="1">
      <c r="A1224" s="92"/>
      <c r="B1224" s="5"/>
      <c r="C1224" s="5"/>
      <c r="D1224" s="9"/>
      <c r="E1224" s="6"/>
      <c r="F1224" s="6"/>
      <c r="G1224" s="78"/>
      <c r="H1224" s="78"/>
      <c r="I1224" s="16"/>
      <c r="J1224" s="16"/>
      <c r="K1224" s="5"/>
      <c r="L1224" s="5"/>
    </row>
    <row r="1225" spans="1:12" ht="15" customHeight="1">
      <c r="A1225" s="92"/>
      <c r="B1225" s="5"/>
      <c r="C1225" s="5"/>
      <c r="D1225" s="9"/>
      <c r="E1225" s="6"/>
      <c r="F1225" s="6"/>
      <c r="G1225" s="78"/>
      <c r="H1225" s="78"/>
      <c r="I1225" s="16"/>
      <c r="J1225" s="16"/>
      <c r="K1225" s="5"/>
      <c r="L1225" s="5"/>
    </row>
    <row r="1226" spans="1:12" ht="15" customHeight="1">
      <c r="A1226" s="92"/>
      <c r="B1226" s="5"/>
      <c r="C1226" s="5"/>
      <c r="D1226" s="9"/>
      <c r="E1226" s="6"/>
      <c r="F1226" s="6"/>
      <c r="G1226" s="78"/>
      <c r="H1226" s="78"/>
      <c r="I1226" s="16"/>
      <c r="J1226" s="16"/>
      <c r="K1226" s="5"/>
      <c r="L1226" s="5"/>
    </row>
    <row r="1227" spans="1:12" ht="15" customHeight="1">
      <c r="A1227" s="92"/>
      <c r="B1227" s="5"/>
      <c r="C1227" s="5"/>
      <c r="D1227" s="9"/>
      <c r="E1227" s="6"/>
      <c r="F1227" s="6"/>
      <c r="G1227" s="78"/>
      <c r="H1227" s="78"/>
      <c r="I1227" s="16"/>
      <c r="J1227" s="16"/>
      <c r="K1227" s="5"/>
      <c r="L1227" s="5"/>
    </row>
    <row r="1228" spans="1:12" ht="15" customHeight="1">
      <c r="A1228" s="92"/>
      <c r="B1228" s="5"/>
      <c r="C1228" s="5"/>
      <c r="D1228" s="9"/>
      <c r="E1228" s="6"/>
      <c r="F1228" s="6"/>
      <c r="G1228" s="78"/>
      <c r="H1228" s="78"/>
      <c r="I1228" s="16"/>
      <c r="J1228" s="16"/>
      <c r="K1228" s="5"/>
      <c r="L1228" s="5"/>
    </row>
    <row r="1229" spans="1:12" ht="15" customHeight="1">
      <c r="A1229" s="92"/>
      <c r="B1229" s="5"/>
      <c r="C1229" s="5"/>
      <c r="D1229" s="9"/>
      <c r="E1229" s="6"/>
      <c r="F1229" s="6"/>
      <c r="G1229" s="78"/>
      <c r="H1229" s="78"/>
      <c r="I1229" s="16"/>
      <c r="J1229" s="16"/>
      <c r="K1229" s="5"/>
      <c r="L1229" s="5"/>
    </row>
    <row r="1230" spans="1:12" ht="15" customHeight="1">
      <c r="A1230" s="92"/>
      <c r="B1230" s="5"/>
      <c r="C1230" s="5"/>
      <c r="D1230" s="9"/>
      <c r="E1230" s="6"/>
      <c r="F1230" s="6"/>
      <c r="G1230" s="78"/>
      <c r="H1230" s="78"/>
      <c r="I1230" s="16"/>
      <c r="J1230" s="16"/>
      <c r="K1230" s="5"/>
      <c r="L1230" s="5"/>
    </row>
    <row r="1231" spans="1:12" ht="15" customHeight="1">
      <c r="A1231" s="92"/>
      <c r="B1231" s="5"/>
      <c r="C1231" s="5"/>
      <c r="D1231" s="9"/>
      <c r="E1231" s="6"/>
      <c r="F1231" s="6"/>
      <c r="G1231" s="78"/>
      <c r="H1231" s="78"/>
      <c r="I1231" s="16"/>
      <c r="J1231" s="16"/>
      <c r="K1231" s="5"/>
      <c r="L1231" s="5"/>
    </row>
    <row r="1232" spans="1:12" ht="15" customHeight="1">
      <c r="A1232" s="92"/>
      <c r="B1232" s="5"/>
      <c r="C1232" s="5"/>
      <c r="D1232" s="9"/>
      <c r="E1232" s="6"/>
      <c r="F1232" s="6"/>
      <c r="G1232" s="78"/>
      <c r="H1232" s="78"/>
      <c r="I1232" s="16"/>
      <c r="J1232" s="16"/>
      <c r="K1232" s="5"/>
      <c r="L1232" s="5"/>
    </row>
    <row r="1233" spans="1:12" ht="15" customHeight="1">
      <c r="A1233" s="92"/>
      <c r="B1233" s="5"/>
      <c r="C1233" s="5"/>
      <c r="D1233" s="9"/>
      <c r="E1233" s="6"/>
      <c r="F1233" s="6"/>
      <c r="G1233" s="78"/>
      <c r="H1233" s="78"/>
      <c r="I1233" s="16"/>
      <c r="J1233" s="16"/>
      <c r="K1233" s="5"/>
      <c r="L1233" s="5"/>
    </row>
    <row r="1234" spans="1:12" ht="15" customHeight="1">
      <c r="A1234" s="92"/>
      <c r="B1234" s="5"/>
      <c r="C1234" s="5"/>
      <c r="D1234" s="9"/>
      <c r="E1234" s="6"/>
      <c r="F1234" s="6"/>
      <c r="G1234" s="78"/>
      <c r="H1234" s="78"/>
      <c r="I1234" s="16"/>
      <c r="J1234" s="16"/>
      <c r="K1234" s="5"/>
      <c r="L1234" s="5"/>
    </row>
    <row r="1235" spans="1:12" ht="15" customHeight="1">
      <c r="A1235" s="92"/>
      <c r="B1235" s="5"/>
      <c r="C1235" s="5"/>
      <c r="D1235" s="9"/>
      <c r="E1235" s="6"/>
      <c r="F1235" s="6"/>
      <c r="G1235" s="78"/>
      <c r="H1235" s="78"/>
      <c r="I1235" s="16"/>
      <c r="J1235" s="16"/>
      <c r="K1235" s="5"/>
      <c r="L1235" s="5"/>
    </row>
    <row r="1236" spans="1:12" ht="15" customHeight="1">
      <c r="A1236" s="92"/>
      <c r="B1236" s="5"/>
      <c r="C1236" s="5"/>
      <c r="D1236" s="9"/>
      <c r="E1236" s="6"/>
      <c r="F1236" s="6"/>
      <c r="G1236" s="78"/>
      <c r="H1236" s="78"/>
      <c r="I1236" s="16"/>
      <c r="J1236" s="16"/>
      <c r="K1236" s="5"/>
      <c r="L1236" s="5"/>
    </row>
    <row r="1237" spans="1:12" ht="15" customHeight="1">
      <c r="A1237" s="92"/>
      <c r="B1237" s="5"/>
      <c r="C1237" s="5"/>
      <c r="D1237" s="9"/>
      <c r="E1237" s="6"/>
      <c r="F1237" s="6"/>
      <c r="G1237" s="78"/>
      <c r="H1237" s="78"/>
      <c r="I1237" s="16"/>
      <c r="J1237" s="16"/>
      <c r="K1237" s="5"/>
      <c r="L1237" s="5"/>
    </row>
    <row r="1238" spans="1:12" ht="15" customHeight="1">
      <c r="A1238" s="92"/>
      <c r="B1238" s="5"/>
      <c r="C1238" s="5"/>
      <c r="D1238" s="9"/>
      <c r="E1238" s="6"/>
      <c r="F1238" s="6"/>
      <c r="G1238" s="78"/>
      <c r="H1238" s="78"/>
      <c r="I1238" s="16"/>
      <c r="J1238" s="16"/>
      <c r="K1238" s="5"/>
      <c r="L1238" s="5"/>
    </row>
    <row r="1239" spans="1:12" ht="15" customHeight="1">
      <c r="A1239" s="92"/>
      <c r="B1239" s="5"/>
      <c r="C1239" s="5"/>
      <c r="D1239" s="9"/>
      <c r="E1239" s="6"/>
      <c r="F1239" s="6"/>
      <c r="G1239" s="78"/>
      <c r="H1239" s="78"/>
      <c r="I1239" s="16"/>
      <c r="J1239" s="16"/>
      <c r="K1239" s="5"/>
      <c r="L1239" s="5"/>
    </row>
    <row r="1240" spans="1:12" ht="15" customHeight="1">
      <c r="A1240" s="92"/>
      <c r="B1240" s="5"/>
      <c r="C1240" s="5"/>
      <c r="D1240" s="9"/>
      <c r="E1240" s="6"/>
      <c r="F1240" s="6"/>
      <c r="G1240" s="78"/>
      <c r="H1240" s="78"/>
      <c r="I1240" s="16"/>
      <c r="J1240" s="16"/>
      <c r="K1240" s="5"/>
      <c r="L1240" s="5"/>
    </row>
    <row r="1241" spans="1:12" ht="15" customHeight="1">
      <c r="A1241" s="92"/>
      <c r="B1241" s="5"/>
      <c r="C1241" s="5"/>
      <c r="D1241" s="9"/>
      <c r="E1241" s="6"/>
      <c r="F1241" s="6"/>
      <c r="G1241" s="78"/>
      <c r="H1241" s="78"/>
      <c r="I1241" s="16"/>
      <c r="J1241" s="16"/>
      <c r="K1241" s="5"/>
      <c r="L1241" s="5"/>
    </row>
    <row r="1242" spans="1:12" ht="15" customHeight="1">
      <c r="A1242" s="92"/>
      <c r="B1242" s="5"/>
      <c r="C1242" s="5"/>
      <c r="D1242" s="9"/>
      <c r="E1242" s="6"/>
      <c r="F1242" s="6"/>
      <c r="G1242" s="78"/>
      <c r="H1242" s="78"/>
      <c r="I1242" s="16"/>
      <c r="J1242" s="16"/>
      <c r="K1242" s="5"/>
      <c r="L1242" s="5"/>
    </row>
    <row r="1243" spans="1:12" ht="15" customHeight="1">
      <c r="A1243" s="92"/>
      <c r="B1243" s="5"/>
      <c r="C1243" s="5"/>
      <c r="D1243" s="9"/>
      <c r="E1243" s="6"/>
      <c r="F1243" s="6"/>
      <c r="G1243" s="78"/>
      <c r="H1243" s="78"/>
      <c r="I1243" s="16"/>
      <c r="J1243" s="16"/>
      <c r="K1243" s="5"/>
      <c r="L1243" s="5"/>
    </row>
    <row r="1244" spans="1:12" ht="15" customHeight="1">
      <c r="A1244" s="92"/>
      <c r="B1244" s="5"/>
      <c r="C1244" s="5"/>
      <c r="D1244" s="9"/>
      <c r="E1244" s="6"/>
      <c r="F1244" s="6"/>
      <c r="G1244" s="78"/>
      <c r="H1244" s="78"/>
      <c r="I1244" s="16"/>
      <c r="J1244" s="16"/>
      <c r="K1244" s="5"/>
      <c r="L1244" s="5"/>
    </row>
    <row r="1245" spans="1:12" ht="15" customHeight="1">
      <c r="A1245" s="92"/>
      <c r="B1245" s="5"/>
      <c r="C1245" s="5"/>
      <c r="D1245" s="9"/>
      <c r="E1245" s="6"/>
      <c r="F1245" s="6"/>
      <c r="G1245" s="78"/>
      <c r="H1245" s="78"/>
      <c r="I1245" s="16"/>
      <c r="J1245" s="16"/>
      <c r="K1245" s="5"/>
      <c r="L1245" s="5"/>
    </row>
    <row r="1246" spans="1:12" ht="15" customHeight="1">
      <c r="A1246" s="92"/>
      <c r="B1246" s="5"/>
      <c r="C1246" s="5"/>
      <c r="D1246" s="9"/>
      <c r="E1246" s="6"/>
      <c r="F1246" s="6"/>
      <c r="G1246" s="78"/>
      <c r="H1246" s="78"/>
      <c r="I1246" s="16"/>
      <c r="J1246" s="16"/>
      <c r="K1246" s="5"/>
      <c r="L1246" s="5"/>
    </row>
    <row r="1247" spans="1:12" ht="15" customHeight="1">
      <c r="A1247" s="92"/>
      <c r="B1247" s="5"/>
      <c r="C1247" s="5"/>
      <c r="D1247" s="9"/>
      <c r="E1247" s="6"/>
      <c r="F1247" s="6"/>
      <c r="G1247" s="78"/>
      <c r="H1247" s="78"/>
      <c r="I1247" s="16"/>
      <c r="J1247" s="16"/>
      <c r="K1247" s="5"/>
      <c r="L1247" s="5"/>
    </row>
    <row r="1248" spans="1:12" ht="15" customHeight="1">
      <c r="A1248" s="92"/>
      <c r="B1248" s="5"/>
      <c r="C1248" s="5"/>
      <c r="D1248" s="9"/>
      <c r="E1248" s="6"/>
      <c r="F1248" s="6"/>
      <c r="G1248" s="78"/>
      <c r="H1248" s="78"/>
      <c r="I1248" s="16"/>
      <c r="J1248" s="16"/>
      <c r="K1248" s="5"/>
      <c r="L1248" s="5"/>
    </row>
    <row r="1249" spans="1:12" ht="15" customHeight="1">
      <c r="A1249" s="92"/>
      <c r="B1249" s="5"/>
      <c r="C1249" s="5"/>
      <c r="D1249" s="9"/>
      <c r="E1249" s="6"/>
      <c r="F1249" s="6"/>
      <c r="G1249" s="78"/>
      <c r="H1249" s="78"/>
      <c r="I1249" s="16"/>
      <c r="J1249" s="16"/>
      <c r="K1249" s="5"/>
      <c r="L1249" s="5"/>
    </row>
    <row r="1250" spans="1:12" ht="15" customHeight="1">
      <c r="A1250" s="92"/>
      <c r="B1250" s="5"/>
      <c r="C1250" s="5"/>
      <c r="D1250" s="9"/>
      <c r="E1250" s="6"/>
      <c r="F1250" s="6"/>
      <c r="G1250" s="78"/>
      <c r="H1250" s="78"/>
      <c r="I1250" s="16"/>
      <c r="J1250" s="16"/>
      <c r="K1250" s="5"/>
      <c r="L1250" s="5"/>
    </row>
    <row r="1251" spans="1:12" ht="15" customHeight="1">
      <c r="A1251" s="92"/>
      <c r="B1251" s="5"/>
      <c r="C1251" s="5"/>
      <c r="D1251" s="9"/>
      <c r="E1251" s="6"/>
      <c r="F1251" s="6"/>
      <c r="G1251" s="78"/>
      <c r="H1251" s="78"/>
      <c r="I1251" s="16"/>
      <c r="J1251" s="16"/>
      <c r="K1251" s="5"/>
      <c r="L1251" s="5"/>
    </row>
    <row r="1252" spans="1:12" ht="15" customHeight="1">
      <c r="A1252" s="92"/>
      <c r="B1252" s="5"/>
      <c r="C1252" s="5"/>
      <c r="D1252" s="9"/>
      <c r="E1252" s="6"/>
      <c r="F1252" s="6"/>
      <c r="G1252" s="78"/>
      <c r="H1252" s="78"/>
      <c r="I1252" s="16"/>
      <c r="J1252" s="16"/>
      <c r="K1252" s="5"/>
      <c r="L1252" s="5"/>
    </row>
    <row r="1253" spans="1:12" ht="15" customHeight="1">
      <c r="A1253" s="92"/>
      <c r="B1253" s="5"/>
      <c r="C1253" s="5"/>
      <c r="D1253" s="9"/>
      <c r="E1253" s="6"/>
      <c r="F1253" s="6"/>
      <c r="G1253" s="78"/>
      <c r="H1253" s="78"/>
      <c r="I1253" s="16"/>
      <c r="J1253" s="16"/>
      <c r="K1253" s="5"/>
      <c r="L1253" s="5"/>
    </row>
    <row r="1254" spans="1:12" ht="15" customHeight="1">
      <c r="A1254" s="92"/>
      <c r="B1254" s="5"/>
      <c r="C1254" s="5"/>
      <c r="D1254" s="9"/>
      <c r="E1254" s="6"/>
      <c r="F1254" s="6"/>
      <c r="G1254" s="78"/>
      <c r="H1254" s="78"/>
      <c r="I1254" s="16"/>
      <c r="J1254" s="16"/>
      <c r="K1254" s="5"/>
      <c r="L1254" s="5"/>
    </row>
    <row r="1255" spans="1:12" ht="15" customHeight="1">
      <c r="A1255" s="92"/>
      <c r="B1255" s="5"/>
      <c r="C1255" s="5"/>
      <c r="D1255" s="9"/>
      <c r="E1255" s="6"/>
      <c r="F1255" s="6"/>
      <c r="G1255" s="78"/>
      <c r="H1255" s="78"/>
      <c r="I1255" s="16"/>
      <c r="J1255" s="16"/>
      <c r="K1255" s="5"/>
      <c r="L1255" s="5"/>
    </row>
    <row r="1256" spans="1:12" ht="15" customHeight="1">
      <c r="A1256" s="92"/>
      <c r="B1256" s="5"/>
      <c r="C1256" s="5"/>
      <c r="D1256" s="9"/>
      <c r="E1256" s="6"/>
      <c r="F1256" s="6"/>
      <c r="G1256" s="78"/>
      <c r="H1256" s="78"/>
      <c r="I1256" s="16"/>
      <c r="J1256" s="16"/>
      <c r="K1256" s="5"/>
      <c r="L1256" s="5"/>
    </row>
    <row r="1257" spans="1:12" ht="15" customHeight="1">
      <c r="A1257" s="92"/>
      <c r="B1257" s="5"/>
      <c r="C1257" s="5"/>
      <c r="D1257" s="9"/>
      <c r="E1257" s="6"/>
      <c r="F1257" s="6"/>
      <c r="G1257" s="78"/>
      <c r="H1257" s="78"/>
      <c r="I1257" s="16"/>
      <c r="J1257" s="16"/>
      <c r="K1257" s="5"/>
      <c r="L1257" s="5"/>
    </row>
    <row r="1258" spans="1:12" ht="15" customHeight="1">
      <c r="A1258" s="92"/>
      <c r="B1258" s="5"/>
      <c r="C1258" s="5"/>
      <c r="D1258" s="9"/>
      <c r="E1258" s="6"/>
      <c r="F1258" s="6"/>
      <c r="G1258" s="78"/>
      <c r="H1258" s="78"/>
      <c r="I1258" s="16"/>
      <c r="J1258" s="16"/>
      <c r="K1258" s="5"/>
      <c r="L1258" s="5"/>
    </row>
    <row r="1259" spans="1:12" ht="15" customHeight="1">
      <c r="A1259" s="92"/>
      <c r="B1259" s="5"/>
      <c r="C1259" s="5"/>
      <c r="D1259" s="9"/>
      <c r="E1259" s="6"/>
      <c r="F1259" s="6"/>
      <c r="G1259" s="78"/>
      <c r="H1259" s="78"/>
      <c r="I1259" s="16"/>
      <c r="J1259" s="16"/>
      <c r="K1259" s="5"/>
      <c r="L1259" s="5"/>
    </row>
    <row r="1260" spans="1:12" ht="15" customHeight="1">
      <c r="A1260" s="92"/>
      <c r="B1260" s="5"/>
      <c r="C1260" s="5"/>
      <c r="D1260" s="9"/>
      <c r="E1260" s="6"/>
      <c r="F1260" s="6"/>
      <c r="G1260" s="78"/>
      <c r="H1260" s="78"/>
      <c r="I1260" s="16"/>
      <c r="J1260" s="16"/>
      <c r="K1260" s="5"/>
      <c r="L1260" s="5"/>
    </row>
    <row r="1261" spans="1:12" ht="15" customHeight="1">
      <c r="A1261" s="92"/>
      <c r="B1261" s="5"/>
      <c r="C1261" s="5"/>
      <c r="D1261" s="9"/>
      <c r="E1261" s="6"/>
      <c r="F1261" s="6"/>
      <c r="G1261" s="78"/>
      <c r="H1261" s="78"/>
      <c r="I1261" s="16"/>
      <c r="J1261" s="16"/>
      <c r="K1261" s="5"/>
      <c r="L1261" s="5"/>
    </row>
    <row r="1262" spans="1:12" ht="15" customHeight="1">
      <c r="A1262" s="92"/>
      <c r="B1262" s="5"/>
      <c r="C1262" s="5"/>
      <c r="D1262" s="9"/>
      <c r="E1262" s="6"/>
      <c r="F1262" s="6"/>
      <c r="G1262" s="78"/>
      <c r="H1262" s="78"/>
      <c r="I1262" s="16"/>
      <c r="J1262" s="16"/>
      <c r="K1262" s="5"/>
      <c r="L1262" s="5"/>
    </row>
    <row r="1263" spans="1:12" ht="15" customHeight="1">
      <c r="A1263" s="92"/>
      <c r="B1263" s="5"/>
      <c r="C1263" s="5"/>
      <c r="D1263" s="9"/>
      <c r="E1263" s="6"/>
      <c r="F1263" s="6"/>
      <c r="G1263" s="78"/>
      <c r="H1263" s="78"/>
      <c r="I1263" s="16"/>
      <c r="J1263" s="16"/>
      <c r="K1263" s="5"/>
      <c r="L1263" s="5"/>
    </row>
    <row r="1264" spans="1:12" ht="15" customHeight="1">
      <c r="A1264" s="92"/>
      <c r="B1264" s="5"/>
      <c r="C1264" s="5"/>
      <c r="D1264" s="9"/>
      <c r="E1264" s="6"/>
      <c r="F1264" s="6"/>
      <c r="G1264" s="78"/>
      <c r="H1264" s="78"/>
      <c r="I1264" s="16"/>
      <c r="J1264" s="16"/>
      <c r="K1264" s="5"/>
      <c r="L1264" s="5"/>
    </row>
    <row r="1265" spans="1:12" ht="15" customHeight="1">
      <c r="A1265" s="92"/>
      <c r="B1265" s="5"/>
      <c r="C1265" s="5"/>
      <c r="D1265" s="9"/>
      <c r="E1265" s="6"/>
      <c r="F1265" s="6"/>
      <c r="G1265" s="78"/>
      <c r="H1265" s="78"/>
      <c r="I1265" s="16"/>
      <c r="J1265" s="16"/>
      <c r="K1265" s="5"/>
      <c r="L1265" s="5"/>
    </row>
    <row r="1266" spans="1:12" ht="15" customHeight="1">
      <c r="A1266" s="92"/>
      <c r="B1266" s="5"/>
      <c r="C1266" s="5"/>
      <c r="D1266" s="9"/>
      <c r="E1266" s="6"/>
      <c r="F1266" s="6"/>
      <c r="G1266" s="78"/>
      <c r="H1266" s="78"/>
      <c r="I1266" s="16"/>
      <c r="J1266" s="16"/>
      <c r="K1266" s="5"/>
      <c r="L1266" s="5"/>
    </row>
    <row r="1267" spans="1:12" ht="15" customHeight="1">
      <c r="A1267" s="92"/>
      <c r="B1267" s="5"/>
      <c r="C1267" s="5"/>
      <c r="D1267" s="9"/>
      <c r="E1267" s="6"/>
      <c r="F1267" s="6"/>
      <c r="G1267" s="78"/>
      <c r="H1267" s="78"/>
      <c r="I1267" s="16"/>
      <c r="J1267" s="16"/>
      <c r="K1267" s="5"/>
      <c r="L1267" s="5"/>
    </row>
    <row r="1268" spans="1:12" ht="15" customHeight="1">
      <c r="A1268" s="92"/>
      <c r="B1268" s="5"/>
      <c r="C1268" s="5"/>
      <c r="D1268" s="9"/>
      <c r="E1268" s="6"/>
      <c r="F1268" s="6"/>
      <c r="G1268" s="78"/>
      <c r="H1268" s="78"/>
      <c r="I1268" s="16"/>
      <c r="J1268" s="16"/>
      <c r="K1268" s="5"/>
      <c r="L1268" s="5"/>
    </row>
    <row r="1269" spans="1:12" ht="15" customHeight="1">
      <c r="A1269" s="92"/>
      <c r="B1269" s="5"/>
      <c r="C1269" s="5"/>
      <c r="D1269" s="9"/>
      <c r="E1269" s="6"/>
      <c r="F1269" s="6"/>
      <c r="G1269" s="78"/>
      <c r="H1269" s="78"/>
      <c r="I1269" s="16"/>
      <c r="J1269" s="16"/>
      <c r="K1269" s="5"/>
      <c r="L1269" s="5"/>
    </row>
    <row r="1270" spans="1:12" ht="15" customHeight="1">
      <c r="A1270" s="92"/>
      <c r="B1270" s="5"/>
      <c r="C1270" s="5"/>
      <c r="D1270" s="9"/>
      <c r="E1270" s="6"/>
      <c r="F1270" s="6"/>
      <c r="G1270" s="78"/>
      <c r="H1270" s="78"/>
      <c r="I1270" s="16"/>
      <c r="J1270" s="16"/>
      <c r="K1270" s="5"/>
      <c r="L1270" s="5"/>
    </row>
    <row r="1271" spans="1:12" ht="15" customHeight="1">
      <c r="A1271" s="92"/>
      <c r="B1271" s="5"/>
      <c r="C1271" s="5"/>
      <c r="D1271" s="9"/>
      <c r="E1271" s="6"/>
      <c r="F1271" s="6"/>
      <c r="G1271" s="78"/>
      <c r="H1271" s="78"/>
      <c r="I1271" s="16"/>
      <c r="J1271" s="16"/>
      <c r="K1271" s="5"/>
      <c r="L1271" s="5"/>
    </row>
    <row r="1272" spans="1:12" ht="15" customHeight="1">
      <c r="A1272" s="92"/>
      <c r="B1272" s="5"/>
      <c r="C1272" s="5"/>
      <c r="D1272" s="9"/>
      <c r="E1272" s="6"/>
      <c r="F1272" s="6"/>
      <c r="G1272" s="78"/>
      <c r="H1272" s="78"/>
      <c r="I1272" s="16"/>
      <c r="J1272" s="16"/>
      <c r="K1272" s="5"/>
      <c r="L1272" s="5"/>
    </row>
    <row r="1273" spans="1:12" ht="15" customHeight="1">
      <c r="A1273" s="92"/>
      <c r="B1273" s="5"/>
      <c r="C1273" s="5"/>
      <c r="D1273" s="9"/>
      <c r="E1273" s="6"/>
      <c r="F1273" s="6"/>
      <c r="G1273" s="78"/>
      <c r="H1273" s="78"/>
      <c r="I1273" s="16"/>
      <c r="J1273" s="16"/>
      <c r="K1273" s="5"/>
      <c r="L1273" s="5"/>
    </row>
    <row r="1274" spans="1:12" ht="15" customHeight="1">
      <c r="A1274" s="92"/>
      <c r="B1274" s="5"/>
      <c r="C1274" s="5"/>
      <c r="D1274" s="9"/>
      <c r="E1274" s="6"/>
      <c r="F1274" s="6"/>
      <c r="G1274" s="78"/>
      <c r="H1274" s="78"/>
      <c r="I1274" s="16"/>
      <c r="J1274" s="16"/>
      <c r="K1274" s="5"/>
      <c r="L1274" s="5"/>
    </row>
    <row r="1275" spans="1:12" ht="15" customHeight="1">
      <c r="A1275" s="92"/>
      <c r="B1275" s="5"/>
      <c r="C1275" s="5"/>
      <c r="D1275" s="9"/>
      <c r="E1275" s="6"/>
      <c r="F1275" s="6"/>
      <c r="G1275" s="78"/>
      <c r="H1275" s="78"/>
      <c r="I1275" s="16"/>
      <c r="J1275" s="16"/>
      <c r="K1275" s="5"/>
      <c r="L1275" s="5"/>
    </row>
    <row r="1276" spans="1:12" ht="15" customHeight="1">
      <c r="A1276" s="92"/>
      <c r="B1276" s="5"/>
      <c r="C1276" s="5"/>
      <c r="D1276" s="9"/>
      <c r="E1276" s="6"/>
      <c r="F1276" s="6"/>
      <c r="G1276" s="78"/>
      <c r="H1276" s="78"/>
      <c r="I1276" s="16"/>
      <c r="J1276" s="16"/>
      <c r="K1276" s="5"/>
      <c r="L1276" s="5"/>
    </row>
    <row r="1277" spans="1:12" ht="15" customHeight="1">
      <c r="A1277" s="92"/>
      <c r="B1277" s="5"/>
      <c r="C1277" s="5"/>
      <c r="D1277" s="9"/>
      <c r="E1277" s="6"/>
      <c r="F1277" s="6"/>
      <c r="G1277" s="78"/>
      <c r="H1277" s="78"/>
      <c r="I1277" s="16"/>
      <c r="J1277" s="16"/>
      <c r="K1277" s="5"/>
      <c r="L1277" s="5"/>
    </row>
    <row r="1278" spans="1:12" ht="15" customHeight="1">
      <c r="A1278" s="92"/>
      <c r="B1278" s="5"/>
      <c r="C1278" s="5"/>
      <c r="D1278" s="9"/>
      <c r="E1278" s="6"/>
      <c r="F1278" s="6"/>
      <c r="G1278" s="78"/>
      <c r="H1278" s="78"/>
      <c r="I1278" s="16"/>
      <c r="J1278" s="16"/>
      <c r="K1278" s="5"/>
      <c r="L1278" s="5"/>
    </row>
    <row r="1279" spans="1:12" ht="15" customHeight="1">
      <c r="A1279" s="92"/>
      <c r="B1279" s="5"/>
      <c r="C1279" s="5"/>
      <c r="D1279" s="9"/>
      <c r="E1279" s="6"/>
      <c r="F1279" s="6"/>
      <c r="G1279" s="78"/>
      <c r="H1279" s="78"/>
      <c r="I1279" s="16"/>
      <c r="J1279" s="16"/>
      <c r="K1279" s="5"/>
      <c r="L1279" s="5"/>
    </row>
    <row r="1280" spans="1:12" ht="15" customHeight="1">
      <c r="A1280" s="92"/>
      <c r="B1280" s="5"/>
      <c r="C1280" s="5"/>
      <c r="D1280" s="9"/>
      <c r="E1280" s="6"/>
      <c r="F1280" s="6"/>
      <c r="G1280" s="78"/>
      <c r="H1280" s="78"/>
      <c r="I1280" s="16"/>
      <c r="J1280" s="16"/>
      <c r="K1280" s="5"/>
      <c r="L1280" s="5"/>
    </row>
    <row r="1281" spans="1:12" ht="15" customHeight="1">
      <c r="A1281" s="92"/>
      <c r="B1281" s="5"/>
      <c r="C1281" s="5"/>
      <c r="D1281" s="9"/>
      <c r="E1281" s="6"/>
      <c r="F1281" s="6"/>
      <c r="G1281" s="78"/>
      <c r="H1281" s="78"/>
      <c r="I1281" s="16"/>
      <c r="J1281" s="16"/>
      <c r="K1281" s="5"/>
      <c r="L1281" s="5"/>
    </row>
    <row r="1282" spans="1:12" ht="15" customHeight="1">
      <c r="A1282" s="92"/>
      <c r="B1282" s="5"/>
      <c r="C1282" s="5"/>
      <c r="D1282" s="9"/>
      <c r="E1282" s="6"/>
      <c r="F1282" s="6"/>
      <c r="G1282" s="78"/>
      <c r="H1282" s="78"/>
      <c r="I1282" s="16"/>
      <c r="J1282" s="16"/>
      <c r="K1282" s="5"/>
      <c r="L1282" s="5"/>
    </row>
    <row r="1283" spans="1:12" ht="15" customHeight="1">
      <c r="A1283" s="92"/>
      <c r="B1283" s="5"/>
      <c r="C1283" s="5"/>
      <c r="D1283" s="9"/>
      <c r="E1283" s="6"/>
      <c r="F1283" s="6"/>
      <c r="G1283" s="78"/>
      <c r="H1283" s="78"/>
      <c r="I1283" s="16"/>
      <c r="J1283" s="16"/>
      <c r="K1283" s="5"/>
      <c r="L1283" s="5"/>
    </row>
    <row r="1284" spans="1:12" ht="15" customHeight="1">
      <c r="A1284" s="92"/>
      <c r="B1284" s="5"/>
      <c r="C1284" s="5"/>
      <c r="D1284" s="9"/>
      <c r="E1284" s="6"/>
      <c r="F1284" s="6"/>
      <c r="G1284" s="78"/>
      <c r="H1284" s="78"/>
      <c r="I1284" s="16"/>
      <c r="J1284" s="16"/>
      <c r="K1284" s="5"/>
      <c r="L1284" s="5"/>
    </row>
    <row r="1285" spans="1:12" ht="15" customHeight="1">
      <c r="A1285" s="92"/>
      <c r="B1285" s="5"/>
      <c r="C1285" s="5"/>
      <c r="D1285" s="9"/>
      <c r="E1285" s="6"/>
      <c r="F1285" s="6"/>
      <c r="G1285" s="78"/>
      <c r="H1285" s="78"/>
      <c r="I1285" s="16"/>
      <c r="J1285" s="16"/>
      <c r="K1285" s="5"/>
      <c r="L1285" s="5"/>
    </row>
    <row r="1286" spans="1:12" ht="15" customHeight="1">
      <c r="A1286" s="92"/>
      <c r="B1286" s="5"/>
      <c r="C1286" s="5"/>
      <c r="D1286" s="9"/>
      <c r="E1286" s="6"/>
      <c r="F1286" s="6"/>
      <c r="G1286" s="78"/>
      <c r="H1286" s="78"/>
      <c r="I1286" s="16"/>
      <c r="J1286" s="16"/>
      <c r="K1286" s="5"/>
      <c r="L1286" s="5"/>
    </row>
    <row r="1287" spans="1:12" ht="15" customHeight="1">
      <c r="A1287" s="92"/>
      <c r="B1287" s="5"/>
      <c r="C1287" s="5"/>
      <c r="D1287" s="9"/>
      <c r="E1287" s="6"/>
      <c r="F1287" s="6"/>
      <c r="G1287" s="78"/>
      <c r="H1287" s="78"/>
      <c r="I1287" s="16"/>
      <c r="J1287" s="16"/>
      <c r="K1287" s="5"/>
      <c r="L1287" s="5"/>
    </row>
    <row r="1288" spans="1:12" ht="15" customHeight="1">
      <c r="A1288" s="92"/>
      <c r="B1288" s="5"/>
      <c r="C1288" s="5"/>
      <c r="D1288" s="9"/>
      <c r="E1288" s="6"/>
      <c r="F1288" s="6"/>
      <c r="G1288" s="78"/>
      <c r="H1288" s="78"/>
      <c r="I1288" s="16"/>
      <c r="J1288" s="16"/>
      <c r="K1288" s="5"/>
      <c r="L1288" s="5"/>
    </row>
    <row r="1289" spans="1:12" ht="15" customHeight="1">
      <c r="A1289" s="92"/>
      <c r="B1289" s="5"/>
      <c r="C1289" s="5"/>
      <c r="D1289" s="9"/>
      <c r="E1289" s="6"/>
      <c r="F1289" s="6"/>
      <c r="G1289" s="78"/>
      <c r="H1289" s="78"/>
      <c r="I1289" s="16"/>
      <c r="J1289" s="16"/>
      <c r="K1289" s="5"/>
      <c r="L1289" s="5"/>
    </row>
    <row r="1290" spans="1:12" ht="15" customHeight="1">
      <c r="A1290" s="92"/>
      <c r="B1290" s="5"/>
      <c r="C1290" s="5"/>
      <c r="D1290" s="9"/>
      <c r="E1290" s="6"/>
      <c r="F1290" s="6"/>
      <c r="G1290" s="78"/>
      <c r="H1290" s="78"/>
      <c r="I1290" s="16"/>
      <c r="J1290" s="16"/>
      <c r="K1290" s="5"/>
      <c r="L1290" s="5"/>
    </row>
    <row r="1291" spans="1:12" ht="15" customHeight="1">
      <c r="A1291" s="92"/>
      <c r="B1291" s="5"/>
      <c r="C1291" s="5"/>
      <c r="D1291" s="9"/>
      <c r="E1291" s="6"/>
      <c r="F1291" s="6"/>
      <c r="G1291" s="78"/>
      <c r="H1291" s="78"/>
      <c r="I1291" s="16"/>
      <c r="J1291" s="16"/>
      <c r="K1291" s="5"/>
      <c r="L1291" s="5"/>
    </row>
    <row r="1292" spans="1:12" ht="15" customHeight="1">
      <c r="A1292" s="92"/>
      <c r="B1292" s="5"/>
      <c r="C1292" s="5"/>
      <c r="D1292" s="9"/>
      <c r="E1292" s="6"/>
      <c r="F1292" s="6"/>
      <c r="G1292" s="78"/>
      <c r="H1292" s="78"/>
      <c r="I1292" s="16"/>
      <c r="J1292" s="16"/>
      <c r="K1292" s="5"/>
      <c r="L1292" s="5"/>
    </row>
    <row r="1293" spans="1:12" ht="15" customHeight="1">
      <c r="A1293" s="92"/>
      <c r="B1293" s="5"/>
      <c r="C1293" s="5"/>
      <c r="D1293" s="9"/>
      <c r="E1293" s="6"/>
      <c r="F1293" s="6"/>
      <c r="G1293" s="78"/>
      <c r="H1293" s="78"/>
      <c r="I1293" s="16"/>
      <c r="J1293" s="16"/>
      <c r="K1293" s="5"/>
      <c r="L1293" s="5"/>
    </row>
    <row r="1294" spans="1:12" ht="15" customHeight="1">
      <c r="A1294" s="92"/>
      <c r="B1294" s="5"/>
      <c r="C1294" s="5"/>
      <c r="D1294" s="9"/>
      <c r="E1294" s="6"/>
      <c r="F1294" s="6"/>
      <c r="G1294" s="78"/>
      <c r="H1294" s="78"/>
      <c r="I1294" s="16"/>
      <c r="J1294" s="16"/>
      <c r="K1294" s="5"/>
      <c r="L1294" s="5"/>
    </row>
    <row r="1295" spans="1:12" ht="15" customHeight="1">
      <c r="A1295" s="92"/>
      <c r="B1295" s="5"/>
      <c r="C1295" s="5"/>
      <c r="D1295" s="9"/>
      <c r="E1295" s="6"/>
      <c r="F1295" s="6"/>
      <c r="G1295" s="78"/>
      <c r="H1295" s="78"/>
      <c r="I1295" s="16"/>
      <c r="J1295" s="16"/>
      <c r="K1295" s="5"/>
      <c r="L1295" s="5"/>
    </row>
    <row r="1296" spans="1:12" ht="15" customHeight="1">
      <c r="A1296" s="92"/>
      <c r="B1296" s="5"/>
      <c r="C1296" s="5"/>
      <c r="D1296" s="9"/>
      <c r="E1296" s="6"/>
      <c r="F1296" s="6"/>
      <c r="G1296" s="78"/>
      <c r="H1296" s="78"/>
      <c r="I1296" s="16"/>
      <c r="J1296" s="16"/>
      <c r="K1296" s="5"/>
      <c r="L1296" s="5"/>
    </row>
    <row r="1297" spans="1:12" ht="15" customHeight="1">
      <c r="A1297" s="92"/>
      <c r="B1297" s="5"/>
      <c r="C1297" s="5"/>
      <c r="D1297" s="9"/>
      <c r="E1297" s="6"/>
      <c r="F1297" s="6"/>
      <c r="G1297" s="78"/>
      <c r="H1297" s="78"/>
      <c r="I1297" s="16"/>
      <c r="J1297" s="16"/>
      <c r="K1297" s="5"/>
      <c r="L1297" s="5"/>
    </row>
    <row r="1298" spans="1:12" ht="15" customHeight="1">
      <c r="A1298" s="92"/>
      <c r="B1298" s="5"/>
      <c r="C1298" s="5"/>
      <c r="D1298" s="9"/>
      <c r="E1298" s="6"/>
      <c r="F1298" s="6"/>
      <c r="G1298" s="78"/>
      <c r="H1298" s="78"/>
      <c r="I1298" s="16"/>
      <c r="J1298" s="16"/>
      <c r="K1298" s="5"/>
      <c r="L1298" s="5"/>
    </row>
    <row r="1299" spans="1:12" ht="15" customHeight="1">
      <c r="A1299" s="92"/>
      <c r="B1299" s="5"/>
      <c r="C1299" s="5"/>
      <c r="D1299" s="9"/>
      <c r="E1299" s="6"/>
      <c r="F1299" s="6"/>
      <c r="G1299" s="78"/>
      <c r="H1299" s="78"/>
      <c r="I1299" s="16"/>
      <c r="J1299" s="16"/>
      <c r="K1299" s="5"/>
      <c r="L1299" s="5"/>
    </row>
    <row r="1300" spans="1:12" ht="15" customHeight="1">
      <c r="A1300" s="92"/>
      <c r="B1300" s="5"/>
      <c r="C1300" s="5"/>
      <c r="D1300" s="9"/>
      <c r="E1300" s="6"/>
      <c r="F1300" s="6"/>
      <c r="G1300" s="78"/>
      <c r="H1300" s="78"/>
      <c r="I1300" s="16"/>
      <c r="J1300" s="16"/>
      <c r="K1300" s="5"/>
      <c r="L1300" s="5"/>
    </row>
    <row r="1301" spans="1:12" ht="15" customHeight="1">
      <c r="A1301" s="92"/>
      <c r="B1301" s="5"/>
      <c r="C1301" s="5"/>
      <c r="D1301" s="9"/>
      <c r="E1301" s="6"/>
      <c r="F1301" s="6"/>
      <c r="G1301" s="78"/>
      <c r="H1301" s="78"/>
      <c r="I1301" s="16"/>
      <c r="J1301" s="16"/>
      <c r="K1301" s="5"/>
      <c r="L1301" s="5"/>
    </row>
    <row r="1302" spans="1:12" ht="15" customHeight="1">
      <c r="A1302" s="92"/>
      <c r="B1302" s="5"/>
      <c r="C1302" s="5"/>
      <c r="D1302" s="9"/>
      <c r="E1302" s="6"/>
      <c r="F1302" s="6"/>
      <c r="G1302" s="78"/>
      <c r="H1302" s="78"/>
      <c r="I1302" s="16"/>
      <c r="J1302" s="16"/>
      <c r="K1302" s="5"/>
      <c r="L1302" s="5"/>
    </row>
    <row r="1303" spans="1:12" ht="15" customHeight="1">
      <c r="A1303" s="92"/>
      <c r="B1303" s="5"/>
      <c r="C1303" s="5"/>
      <c r="D1303" s="9"/>
      <c r="E1303" s="6"/>
      <c r="F1303" s="6"/>
      <c r="G1303" s="78"/>
      <c r="H1303" s="78"/>
      <c r="I1303" s="16"/>
      <c r="J1303" s="16"/>
      <c r="K1303" s="5"/>
      <c r="L1303" s="5"/>
    </row>
    <row r="1304" spans="1:12" ht="15" customHeight="1">
      <c r="A1304" s="92"/>
      <c r="B1304" s="5"/>
      <c r="C1304" s="5"/>
      <c r="D1304" s="9"/>
      <c r="E1304" s="6"/>
      <c r="F1304" s="6"/>
      <c r="G1304" s="78"/>
      <c r="H1304" s="78"/>
      <c r="I1304" s="16"/>
      <c r="J1304" s="16"/>
      <c r="K1304" s="5"/>
      <c r="L1304" s="5"/>
    </row>
    <row r="1305" spans="1:12" ht="15" customHeight="1">
      <c r="A1305" s="92"/>
      <c r="B1305" s="5"/>
      <c r="C1305" s="5"/>
      <c r="D1305" s="9"/>
      <c r="E1305" s="6"/>
      <c r="F1305" s="6"/>
      <c r="G1305" s="78"/>
      <c r="H1305" s="78"/>
      <c r="I1305" s="16"/>
      <c r="J1305" s="16"/>
      <c r="K1305" s="5"/>
      <c r="L1305" s="5"/>
    </row>
    <row r="1306" spans="1:12" ht="15" customHeight="1">
      <c r="A1306" s="92"/>
      <c r="B1306" s="5"/>
      <c r="C1306" s="5"/>
      <c r="D1306" s="9"/>
      <c r="E1306" s="6"/>
      <c r="F1306" s="6"/>
      <c r="G1306" s="78"/>
      <c r="H1306" s="78"/>
      <c r="I1306" s="16"/>
      <c r="J1306" s="16"/>
      <c r="K1306" s="5"/>
      <c r="L1306" s="5"/>
    </row>
    <row r="1307" spans="1:12" ht="15" customHeight="1">
      <c r="A1307" s="92"/>
      <c r="B1307" s="5"/>
      <c r="C1307" s="5"/>
      <c r="D1307" s="9"/>
      <c r="E1307" s="6"/>
      <c r="F1307" s="6"/>
      <c r="G1307" s="78"/>
      <c r="H1307" s="78"/>
      <c r="I1307" s="16"/>
      <c r="J1307" s="16"/>
      <c r="K1307" s="5"/>
      <c r="L1307" s="5"/>
    </row>
    <row r="1308" spans="1:12" ht="15" customHeight="1">
      <c r="A1308" s="92"/>
      <c r="B1308" s="5"/>
      <c r="C1308" s="5"/>
      <c r="D1308" s="9"/>
      <c r="E1308" s="6"/>
      <c r="F1308" s="6"/>
      <c r="G1308" s="78"/>
      <c r="H1308" s="78"/>
      <c r="I1308" s="16"/>
      <c r="J1308" s="16"/>
      <c r="K1308" s="5"/>
      <c r="L1308" s="5"/>
    </row>
    <row r="1309" spans="1:12" ht="15" customHeight="1">
      <c r="A1309" s="92"/>
      <c r="B1309" s="5"/>
      <c r="C1309" s="5"/>
      <c r="D1309" s="9"/>
      <c r="E1309" s="6"/>
      <c r="F1309" s="6"/>
      <c r="G1309" s="78"/>
      <c r="H1309" s="78"/>
      <c r="I1309" s="16"/>
      <c r="J1309" s="16"/>
      <c r="K1309" s="5"/>
      <c r="L1309" s="5"/>
    </row>
    <row r="1310" spans="1:12" ht="15" customHeight="1">
      <c r="A1310" s="92"/>
      <c r="B1310" s="5"/>
      <c r="C1310" s="5"/>
      <c r="D1310" s="9"/>
      <c r="E1310" s="6"/>
      <c r="F1310" s="6"/>
      <c r="G1310" s="78"/>
      <c r="H1310" s="78"/>
      <c r="I1310" s="16"/>
      <c r="J1310" s="16"/>
      <c r="K1310" s="5"/>
      <c r="L1310" s="5"/>
    </row>
    <row r="1311" spans="1:12" ht="15" customHeight="1">
      <c r="A1311" s="92"/>
      <c r="B1311" s="5"/>
      <c r="C1311" s="5"/>
      <c r="D1311" s="9"/>
      <c r="E1311" s="6"/>
      <c r="F1311" s="6"/>
      <c r="G1311" s="78"/>
      <c r="H1311" s="78"/>
      <c r="I1311" s="16"/>
      <c r="J1311" s="16"/>
      <c r="K1311" s="5"/>
      <c r="L1311" s="5"/>
    </row>
    <row r="1312" spans="1:12" ht="15" customHeight="1">
      <c r="A1312" s="92"/>
      <c r="B1312" s="5"/>
      <c r="C1312" s="5"/>
      <c r="D1312" s="9"/>
      <c r="E1312" s="6"/>
      <c r="F1312" s="6"/>
      <c r="G1312" s="78"/>
      <c r="H1312" s="78"/>
      <c r="I1312" s="16"/>
      <c r="J1312" s="16"/>
      <c r="K1312" s="5"/>
      <c r="L1312" s="5"/>
    </row>
    <row r="1313" spans="1:12" ht="15" customHeight="1">
      <c r="A1313" s="92"/>
      <c r="B1313" s="5"/>
      <c r="C1313" s="5"/>
      <c r="D1313" s="9"/>
      <c r="E1313" s="6"/>
      <c r="F1313" s="6"/>
      <c r="G1313" s="78"/>
      <c r="H1313" s="78"/>
      <c r="I1313" s="16"/>
      <c r="J1313" s="16"/>
      <c r="K1313" s="5"/>
      <c r="L1313" s="5"/>
    </row>
    <row r="1314" spans="1:12" ht="15" customHeight="1">
      <c r="A1314" s="92"/>
      <c r="B1314" s="5"/>
      <c r="C1314" s="5"/>
      <c r="D1314" s="9"/>
      <c r="E1314" s="6"/>
      <c r="F1314" s="6"/>
      <c r="G1314" s="78"/>
      <c r="H1314" s="78"/>
      <c r="I1314" s="16"/>
      <c r="J1314" s="16"/>
      <c r="K1314" s="5"/>
      <c r="L1314" s="5"/>
    </row>
    <row r="1315" spans="1:12" ht="15" customHeight="1">
      <c r="A1315" s="92"/>
      <c r="B1315" s="5"/>
      <c r="C1315" s="5"/>
      <c r="D1315" s="9"/>
      <c r="E1315" s="6"/>
      <c r="F1315" s="6"/>
      <c r="G1315" s="78"/>
      <c r="H1315" s="78"/>
      <c r="I1315" s="16"/>
      <c r="J1315" s="16"/>
      <c r="K1315" s="5"/>
      <c r="L1315" s="5"/>
    </row>
    <row r="1316" spans="1:12" ht="15" customHeight="1">
      <c r="A1316" s="92"/>
      <c r="B1316" s="5"/>
      <c r="C1316" s="5"/>
      <c r="D1316" s="9"/>
      <c r="E1316" s="6"/>
      <c r="F1316" s="6"/>
      <c r="G1316" s="78"/>
      <c r="H1316" s="78"/>
      <c r="I1316" s="16"/>
      <c r="J1316" s="16"/>
      <c r="K1316" s="5"/>
      <c r="L1316" s="5"/>
    </row>
    <row r="1317" spans="1:12" ht="15" customHeight="1">
      <c r="A1317" s="92"/>
      <c r="B1317" s="5"/>
      <c r="C1317" s="5"/>
      <c r="D1317" s="9"/>
      <c r="E1317" s="6"/>
      <c r="F1317" s="6"/>
      <c r="G1317" s="78"/>
      <c r="H1317" s="78"/>
      <c r="I1317" s="16"/>
      <c r="J1317" s="16"/>
      <c r="K1317" s="5"/>
      <c r="L1317" s="5"/>
    </row>
    <row r="1318" spans="1:12" ht="15" customHeight="1">
      <c r="A1318" s="92"/>
      <c r="B1318" s="5"/>
      <c r="C1318" s="5"/>
      <c r="D1318" s="9"/>
      <c r="E1318" s="6"/>
      <c r="F1318" s="6"/>
      <c r="G1318" s="78"/>
      <c r="H1318" s="78"/>
      <c r="I1318" s="16"/>
      <c r="J1318" s="16"/>
      <c r="K1318" s="5"/>
      <c r="L1318" s="5"/>
    </row>
    <row r="1319" spans="1:12" ht="15" customHeight="1">
      <c r="A1319" s="92"/>
      <c r="B1319" s="5"/>
      <c r="C1319" s="5"/>
      <c r="D1319" s="9"/>
      <c r="E1319" s="6"/>
      <c r="F1319" s="6"/>
      <c r="G1319" s="78"/>
      <c r="H1319" s="78"/>
      <c r="I1319" s="16"/>
      <c r="J1319" s="16"/>
      <c r="K1319" s="5"/>
      <c r="L1319" s="5"/>
    </row>
    <row r="1320" spans="1:12" ht="15" customHeight="1">
      <c r="A1320" s="92"/>
      <c r="B1320" s="5"/>
      <c r="C1320" s="5"/>
      <c r="D1320" s="9"/>
      <c r="E1320" s="6"/>
      <c r="F1320" s="6"/>
      <c r="G1320" s="78"/>
      <c r="H1320" s="78"/>
      <c r="I1320" s="16"/>
      <c r="J1320" s="16"/>
      <c r="K1320" s="5"/>
      <c r="L1320" s="5"/>
    </row>
    <row r="1321" spans="1:12" ht="15" customHeight="1">
      <c r="A1321" s="92"/>
      <c r="B1321" s="5"/>
      <c r="C1321" s="5"/>
      <c r="D1321" s="9"/>
      <c r="E1321" s="6"/>
      <c r="F1321" s="6"/>
      <c r="G1321" s="78"/>
      <c r="H1321" s="78"/>
      <c r="I1321" s="16"/>
      <c r="J1321" s="16"/>
      <c r="K1321" s="5"/>
      <c r="L1321" s="5"/>
    </row>
    <row r="1322" spans="1:12" ht="15" customHeight="1">
      <c r="A1322" s="92"/>
      <c r="B1322" s="5"/>
      <c r="C1322" s="5"/>
      <c r="D1322" s="9"/>
      <c r="E1322" s="6"/>
      <c r="F1322" s="6"/>
      <c r="G1322" s="78"/>
      <c r="H1322" s="78"/>
      <c r="I1322" s="16"/>
      <c r="J1322" s="16"/>
      <c r="K1322" s="5"/>
      <c r="L1322" s="5"/>
    </row>
    <row r="1323" spans="1:12" ht="15" customHeight="1">
      <c r="A1323" s="92"/>
      <c r="B1323" s="5"/>
      <c r="C1323" s="5"/>
      <c r="D1323" s="9"/>
      <c r="E1323" s="6"/>
      <c r="F1323" s="6"/>
      <c r="G1323" s="78"/>
      <c r="H1323" s="78"/>
      <c r="I1323" s="16"/>
      <c r="J1323" s="16"/>
      <c r="K1323" s="5"/>
      <c r="L1323" s="5"/>
    </row>
    <row r="1324" spans="1:12" ht="15" customHeight="1">
      <c r="A1324" s="92"/>
      <c r="B1324" s="5"/>
      <c r="C1324" s="5"/>
      <c r="D1324" s="9"/>
      <c r="E1324" s="6"/>
      <c r="F1324" s="6"/>
      <c r="G1324" s="78"/>
      <c r="H1324" s="78"/>
      <c r="I1324" s="16"/>
      <c r="J1324" s="16"/>
      <c r="K1324" s="5"/>
      <c r="L1324" s="5"/>
    </row>
    <row r="1325" spans="1:12" ht="15" customHeight="1">
      <c r="A1325" s="92"/>
      <c r="B1325" s="5"/>
      <c r="C1325" s="5"/>
      <c r="D1325" s="9"/>
      <c r="E1325" s="6"/>
      <c r="F1325" s="6"/>
      <c r="G1325" s="78"/>
      <c r="H1325" s="78"/>
      <c r="I1325" s="16"/>
      <c r="J1325" s="16"/>
      <c r="K1325" s="5"/>
      <c r="L1325" s="5"/>
    </row>
    <row r="1326" spans="1:12" ht="15" customHeight="1">
      <c r="A1326" s="92"/>
      <c r="B1326" s="5"/>
      <c r="C1326" s="5"/>
      <c r="D1326" s="9"/>
      <c r="E1326" s="6"/>
      <c r="F1326" s="6"/>
      <c r="G1326" s="78"/>
      <c r="H1326" s="78"/>
      <c r="I1326" s="16"/>
      <c r="J1326" s="16"/>
      <c r="K1326" s="5"/>
      <c r="L1326" s="5"/>
    </row>
    <row r="1327" spans="1:12" ht="15" customHeight="1">
      <c r="A1327" s="92"/>
      <c r="B1327" s="5"/>
      <c r="C1327" s="5"/>
      <c r="D1327" s="9"/>
      <c r="E1327" s="6"/>
      <c r="F1327" s="6"/>
      <c r="G1327" s="78"/>
      <c r="H1327" s="78"/>
      <c r="I1327" s="16"/>
      <c r="J1327" s="16"/>
      <c r="K1327" s="5"/>
      <c r="L1327" s="5"/>
    </row>
    <row r="1328" spans="1:12" ht="15" customHeight="1">
      <c r="A1328" s="92"/>
      <c r="B1328" s="5"/>
      <c r="C1328" s="5"/>
      <c r="D1328" s="9"/>
      <c r="E1328" s="6"/>
      <c r="F1328" s="6"/>
      <c r="G1328" s="78"/>
      <c r="H1328" s="78"/>
      <c r="I1328" s="16"/>
      <c r="J1328" s="16"/>
      <c r="K1328" s="5"/>
      <c r="L1328" s="5"/>
    </row>
    <row r="1329" spans="1:12" ht="15" customHeight="1">
      <c r="A1329" s="92"/>
      <c r="B1329" s="5"/>
      <c r="C1329" s="5"/>
      <c r="D1329" s="9"/>
      <c r="E1329" s="6"/>
      <c r="F1329" s="6"/>
      <c r="G1329" s="78"/>
      <c r="H1329" s="78"/>
      <c r="I1329" s="16"/>
      <c r="J1329" s="16"/>
      <c r="K1329" s="5"/>
      <c r="L1329" s="5"/>
    </row>
    <row r="1330" spans="1:12" ht="15" customHeight="1">
      <c r="A1330" s="92"/>
      <c r="B1330" s="5"/>
      <c r="C1330" s="5"/>
      <c r="D1330" s="9"/>
      <c r="E1330" s="6"/>
      <c r="F1330" s="6"/>
      <c r="G1330" s="78"/>
      <c r="H1330" s="78"/>
      <c r="I1330" s="16"/>
      <c r="J1330" s="16"/>
      <c r="K1330" s="5"/>
      <c r="L1330" s="5"/>
    </row>
    <row r="1331" spans="1:12" ht="15" customHeight="1">
      <c r="A1331" s="92"/>
      <c r="B1331" s="5"/>
      <c r="C1331" s="5"/>
      <c r="D1331" s="9"/>
      <c r="E1331" s="6"/>
      <c r="F1331" s="6"/>
      <c r="G1331" s="78"/>
      <c r="H1331" s="78"/>
      <c r="I1331" s="16"/>
      <c r="J1331" s="16"/>
      <c r="K1331" s="5"/>
      <c r="L1331" s="5"/>
    </row>
    <row r="1332" spans="1:12" ht="15" customHeight="1">
      <c r="A1332" s="92"/>
      <c r="B1332" s="5"/>
      <c r="C1332" s="5"/>
      <c r="D1332" s="9"/>
      <c r="E1332" s="6"/>
      <c r="F1332" s="6"/>
      <c r="G1332" s="78"/>
      <c r="H1332" s="78"/>
      <c r="I1332" s="16"/>
      <c r="J1332" s="16"/>
      <c r="K1332" s="5"/>
      <c r="L1332" s="5"/>
    </row>
    <row r="1333" spans="1:12" ht="15" customHeight="1">
      <c r="A1333" s="92"/>
      <c r="B1333" s="5"/>
      <c r="C1333" s="5"/>
      <c r="D1333" s="9"/>
      <c r="E1333" s="6"/>
      <c r="F1333" s="6"/>
      <c r="G1333" s="78"/>
      <c r="H1333" s="78"/>
      <c r="I1333" s="16"/>
      <c r="J1333" s="16"/>
      <c r="K1333" s="5"/>
      <c r="L1333" s="5"/>
    </row>
    <row r="1334" spans="1:12" ht="15" customHeight="1">
      <c r="A1334" s="92"/>
      <c r="B1334" s="5"/>
      <c r="C1334" s="5"/>
      <c r="D1334" s="9"/>
      <c r="E1334" s="6"/>
      <c r="F1334" s="6"/>
      <c r="G1334" s="78"/>
      <c r="H1334" s="78"/>
      <c r="I1334" s="16"/>
      <c r="J1334" s="16"/>
      <c r="K1334" s="5"/>
      <c r="L1334" s="5"/>
    </row>
    <row r="1335" spans="1:12" ht="15" customHeight="1">
      <c r="A1335" s="92"/>
      <c r="B1335" s="5"/>
      <c r="C1335" s="5"/>
      <c r="D1335" s="9"/>
      <c r="E1335" s="6"/>
      <c r="F1335" s="6"/>
      <c r="G1335" s="78"/>
      <c r="H1335" s="78"/>
      <c r="I1335" s="16"/>
      <c r="J1335" s="16"/>
      <c r="K1335" s="5"/>
      <c r="L1335" s="5"/>
    </row>
    <row r="1336" spans="1:12" ht="15" customHeight="1">
      <c r="A1336" s="92"/>
      <c r="B1336" s="5"/>
      <c r="C1336" s="5"/>
      <c r="D1336" s="9"/>
      <c r="E1336" s="6"/>
      <c r="F1336" s="6"/>
      <c r="G1336" s="78"/>
      <c r="H1336" s="78"/>
      <c r="I1336" s="16"/>
      <c r="J1336" s="16"/>
      <c r="K1336" s="5"/>
      <c r="L1336" s="5"/>
    </row>
    <row r="1337" spans="1:12" ht="15" customHeight="1">
      <c r="A1337" s="92"/>
      <c r="B1337" s="5"/>
      <c r="C1337" s="5"/>
      <c r="D1337" s="9"/>
      <c r="E1337" s="6"/>
      <c r="F1337" s="6"/>
      <c r="G1337" s="78"/>
      <c r="H1337" s="78"/>
      <c r="I1337" s="16"/>
      <c r="J1337" s="16"/>
      <c r="K1337" s="5"/>
      <c r="L1337" s="5"/>
    </row>
    <row r="1338" spans="1:12" ht="15" customHeight="1">
      <c r="A1338" s="92"/>
      <c r="B1338" s="5"/>
      <c r="C1338" s="5"/>
      <c r="D1338" s="9"/>
      <c r="E1338" s="6"/>
      <c r="F1338" s="6"/>
      <c r="G1338" s="78"/>
      <c r="H1338" s="78"/>
      <c r="I1338" s="16"/>
      <c r="J1338" s="16"/>
      <c r="K1338" s="5"/>
      <c r="L1338" s="5"/>
    </row>
    <row r="1339" spans="1:12" ht="15" customHeight="1">
      <c r="A1339" s="92"/>
      <c r="B1339" s="5"/>
      <c r="C1339" s="5"/>
      <c r="D1339" s="9"/>
      <c r="E1339" s="6"/>
      <c r="F1339" s="6"/>
      <c r="G1339" s="78"/>
      <c r="H1339" s="78"/>
      <c r="I1339" s="16"/>
      <c r="J1339" s="16"/>
      <c r="K1339" s="5"/>
      <c r="L1339" s="5"/>
    </row>
    <row r="1340" spans="1:12" ht="15" customHeight="1">
      <c r="A1340" s="92"/>
      <c r="B1340" s="5"/>
      <c r="C1340" s="5"/>
      <c r="D1340" s="9"/>
      <c r="E1340" s="6"/>
      <c r="F1340" s="6"/>
      <c r="G1340" s="78"/>
      <c r="H1340" s="78"/>
      <c r="I1340" s="16"/>
      <c r="J1340" s="16"/>
      <c r="K1340" s="5"/>
      <c r="L1340" s="5"/>
    </row>
    <row r="1341" spans="1:12" ht="15" customHeight="1">
      <c r="A1341" s="92"/>
      <c r="B1341" s="5"/>
      <c r="C1341" s="5"/>
      <c r="D1341" s="9"/>
      <c r="E1341" s="6"/>
      <c r="F1341" s="6"/>
      <c r="G1341" s="78"/>
      <c r="H1341" s="78"/>
      <c r="I1341" s="16"/>
      <c r="J1341" s="16"/>
      <c r="K1341" s="5"/>
      <c r="L1341" s="5"/>
    </row>
    <row r="1342" spans="1:12" ht="15" customHeight="1">
      <c r="A1342" s="92"/>
      <c r="B1342" s="5"/>
      <c r="C1342" s="5"/>
      <c r="D1342" s="9"/>
      <c r="E1342" s="6"/>
      <c r="F1342" s="6"/>
      <c r="G1342" s="78"/>
      <c r="H1342" s="78"/>
      <c r="I1342" s="16"/>
      <c r="J1342" s="16"/>
      <c r="K1342" s="5"/>
      <c r="L1342" s="5"/>
    </row>
    <row r="1343" spans="1:12" ht="15" customHeight="1">
      <c r="A1343" s="92"/>
      <c r="B1343" s="5"/>
      <c r="C1343" s="5"/>
      <c r="D1343" s="9"/>
      <c r="E1343" s="6"/>
      <c r="F1343" s="6"/>
      <c r="G1343" s="78"/>
      <c r="H1343" s="78"/>
      <c r="I1343" s="16"/>
      <c r="J1343" s="16"/>
      <c r="K1343" s="5"/>
      <c r="L1343" s="5"/>
    </row>
    <row r="1344" spans="1:12" ht="15" customHeight="1">
      <c r="A1344" s="92"/>
      <c r="B1344" s="5"/>
      <c r="C1344" s="5"/>
      <c r="D1344" s="9"/>
      <c r="E1344" s="6"/>
      <c r="F1344" s="6"/>
      <c r="G1344" s="78"/>
      <c r="H1344" s="78"/>
      <c r="I1344" s="16"/>
      <c r="J1344" s="16"/>
      <c r="K1344" s="5"/>
      <c r="L1344" s="5"/>
    </row>
    <row r="1345" spans="1:12" ht="15" customHeight="1">
      <c r="A1345" s="92"/>
      <c r="B1345" s="5"/>
      <c r="C1345" s="5"/>
      <c r="D1345" s="9"/>
      <c r="E1345" s="6"/>
      <c r="F1345" s="6"/>
      <c r="G1345" s="78"/>
      <c r="H1345" s="78"/>
      <c r="I1345" s="16"/>
      <c r="J1345" s="16"/>
      <c r="K1345" s="5"/>
      <c r="L1345" s="5"/>
    </row>
    <row r="1346" spans="1:12" ht="15" customHeight="1">
      <c r="A1346" s="92"/>
      <c r="B1346" s="5"/>
      <c r="C1346" s="5"/>
      <c r="D1346" s="9"/>
      <c r="E1346" s="6"/>
      <c r="F1346" s="6"/>
      <c r="G1346" s="78"/>
      <c r="H1346" s="78"/>
      <c r="I1346" s="16"/>
      <c r="J1346" s="16"/>
      <c r="K1346" s="5"/>
      <c r="L1346" s="5"/>
    </row>
    <row r="1347" spans="1:12" ht="15" customHeight="1">
      <c r="A1347" s="92"/>
      <c r="B1347" s="5"/>
      <c r="C1347" s="5"/>
      <c r="D1347" s="9"/>
      <c r="E1347" s="6"/>
      <c r="F1347" s="6"/>
      <c r="G1347" s="78"/>
      <c r="H1347" s="78"/>
      <c r="I1347" s="16"/>
      <c r="J1347" s="16"/>
      <c r="K1347" s="5"/>
      <c r="L1347" s="5"/>
    </row>
    <row r="1348" spans="1:12" ht="15" customHeight="1">
      <c r="A1348" s="92"/>
      <c r="B1348" s="5"/>
      <c r="C1348" s="5"/>
      <c r="D1348" s="9"/>
      <c r="E1348" s="6"/>
      <c r="F1348" s="6"/>
      <c r="G1348" s="78"/>
      <c r="H1348" s="78"/>
      <c r="I1348" s="16"/>
      <c r="J1348" s="16"/>
      <c r="K1348" s="5"/>
      <c r="L1348" s="5"/>
    </row>
    <row r="1349" spans="1:12" ht="15" customHeight="1">
      <c r="A1349" s="92"/>
      <c r="B1349" s="5"/>
      <c r="C1349" s="5"/>
      <c r="D1349" s="9"/>
      <c r="E1349" s="6"/>
      <c r="F1349" s="6"/>
      <c r="G1349" s="78"/>
      <c r="H1349" s="78"/>
      <c r="I1349" s="16"/>
      <c r="J1349" s="16"/>
      <c r="K1349" s="5"/>
      <c r="L1349" s="5"/>
    </row>
    <row r="1350" spans="1:12" ht="15" customHeight="1">
      <c r="A1350" s="92"/>
      <c r="B1350" s="5"/>
      <c r="C1350" s="5"/>
      <c r="D1350" s="9"/>
      <c r="E1350" s="6"/>
      <c r="F1350" s="6"/>
      <c r="G1350" s="78"/>
      <c r="H1350" s="78"/>
      <c r="I1350" s="16"/>
      <c r="J1350" s="16"/>
      <c r="K1350" s="5"/>
      <c r="L1350" s="5"/>
    </row>
    <row r="1351" spans="1:12" ht="15" customHeight="1">
      <c r="A1351" s="92"/>
      <c r="B1351" s="5"/>
      <c r="C1351" s="5"/>
      <c r="D1351" s="9"/>
      <c r="E1351" s="6"/>
      <c r="F1351" s="6"/>
      <c r="G1351" s="78"/>
      <c r="H1351" s="78"/>
      <c r="I1351" s="16"/>
      <c r="J1351" s="16"/>
      <c r="K1351" s="5"/>
      <c r="L1351" s="5"/>
    </row>
    <row r="1352" spans="1:12" ht="15" customHeight="1">
      <c r="A1352" s="92"/>
      <c r="B1352" s="5"/>
      <c r="C1352" s="5"/>
      <c r="D1352" s="9"/>
      <c r="E1352" s="6"/>
      <c r="F1352" s="6"/>
      <c r="G1352" s="78"/>
      <c r="H1352" s="78"/>
      <c r="I1352" s="16"/>
      <c r="J1352" s="16"/>
      <c r="K1352" s="5"/>
      <c r="L1352" s="5"/>
    </row>
    <row r="1353" spans="1:12" ht="15" customHeight="1">
      <c r="A1353" s="92"/>
      <c r="B1353" s="5"/>
      <c r="C1353" s="5"/>
      <c r="D1353" s="9"/>
      <c r="E1353" s="6"/>
      <c r="F1353" s="6"/>
      <c r="G1353" s="78"/>
      <c r="H1353" s="78"/>
      <c r="I1353" s="16"/>
      <c r="J1353" s="16"/>
      <c r="K1353" s="5"/>
      <c r="L1353" s="5"/>
    </row>
    <row r="1354" spans="1:12" ht="15" customHeight="1">
      <c r="A1354" s="92"/>
      <c r="B1354" s="5"/>
      <c r="C1354" s="5"/>
      <c r="D1354" s="9"/>
      <c r="E1354" s="6"/>
      <c r="F1354" s="6"/>
      <c r="G1354" s="78"/>
      <c r="H1354" s="78"/>
      <c r="I1354" s="16"/>
      <c r="J1354" s="16"/>
      <c r="K1354" s="5"/>
      <c r="L1354" s="5"/>
    </row>
    <row r="1355" spans="1:12" ht="15" customHeight="1">
      <c r="A1355" s="92"/>
      <c r="B1355" s="5"/>
      <c r="C1355" s="5"/>
      <c r="D1355" s="9"/>
      <c r="E1355" s="6"/>
      <c r="F1355" s="6"/>
      <c r="G1355" s="78"/>
      <c r="H1355" s="78"/>
      <c r="I1355" s="16"/>
      <c r="J1355" s="16"/>
      <c r="K1355" s="5"/>
      <c r="L1355" s="5"/>
    </row>
    <row r="1356" spans="1:12" ht="15" customHeight="1">
      <c r="A1356" s="92"/>
      <c r="B1356" s="5"/>
      <c r="C1356" s="5"/>
      <c r="D1356" s="9"/>
      <c r="E1356" s="6"/>
      <c r="F1356" s="6"/>
      <c r="G1356" s="78"/>
      <c r="H1356" s="78"/>
      <c r="I1356" s="16"/>
      <c r="J1356" s="16"/>
      <c r="K1356" s="5"/>
      <c r="L1356" s="5"/>
    </row>
    <row r="1357" spans="1:12" ht="15" customHeight="1">
      <c r="A1357" s="92"/>
      <c r="B1357" s="5"/>
      <c r="C1357" s="5"/>
      <c r="D1357" s="9"/>
      <c r="E1357" s="6"/>
      <c r="F1357" s="6"/>
      <c r="G1357" s="78"/>
      <c r="H1357" s="78"/>
      <c r="I1357" s="16"/>
      <c r="J1357" s="16"/>
      <c r="K1357" s="5"/>
      <c r="L1357" s="5"/>
    </row>
    <row r="1358" spans="1:12" ht="15" customHeight="1">
      <c r="A1358" s="92"/>
      <c r="B1358" s="5"/>
      <c r="C1358" s="5"/>
      <c r="D1358" s="9"/>
      <c r="E1358" s="6"/>
      <c r="F1358" s="6"/>
      <c r="G1358" s="78"/>
      <c r="H1358" s="78"/>
      <c r="I1358" s="16"/>
      <c r="J1358" s="16"/>
      <c r="K1358" s="5"/>
      <c r="L1358" s="5"/>
    </row>
    <row r="1359" spans="1:12" ht="15" customHeight="1">
      <c r="A1359" s="92"/>
      <c r="B1359" s="5"/>
      <c r="C1359" s="5"/>
      <c r="D1359" s="9"/>
      <c r="E1359" s="6"/>
      <c r="F1359" s="6"/>
      <c r="G1359" s="78"/>
      <c r="H1359" s="78"/>
      <c r="I1359" s="16"/>
      <c r="J1359" s="16"/>
      <c r="K1359" s="5"/>
      <c r="L1359" s="5"/>
    </row>
    <row r="1360" spans="1:12" ht="15" customHeight="1">
      <c r="A1360" s="92"/>
      <c r="B1360" s="5"/>
      <c r="C1360" s="5"/>
      <c r="D1360" s="9"/>
      <c r="E1360" s="6"/>
      <c r="F1360" s="6"/>
      <c r="G1360" s="78"/>
      <c r="H1360" s="78"/>
      <c r="I1360" s="16"/>
      <c r="J1360" s="16"/>
      <c r="K1360" s="5"/>
      <c r="L1360" s="5"/>
    </row>
    <row r="1361" spans="1:12" ht="15" customHeight="1">
      <c r="A1361" s="92"/>
      <c r="B1361" s="5"/>
      <c r="C1361" s="5"/>
      <c r="D1361" s="9"/>
      <c r="E1361" s="6"/>
      <c r="F1361" s="6"/>
      <c r="G1361" s="78"/>
      <c r="H1361" s="78"/>
      <c r="I1361" s="16"/>
      <c r="J1361" s="16"/>
      <c r="K1361" s="5"/>
      <c r="L1361" s="5"/>
    </row>
    <row r="1362" spans="1:12" ht="15" customHeight="1">
      <c r="A1362" s="92"/>
      <c r="B1362" s="5"/>
      <c r="C1362" s="5"/>
      <c r="D1362" s="9"/>
      <c r="E1362" s="6"/>
      <c r="F1362" s="6"/>
      <c r="G1362" s="78"/>
      <c r="H1362" s="78"/>
      <c r="I1362" s="16"/>
      <c r="J1362" s="16"/>
      <c r="K1362" s="5"/>
      <c r="L1362" s="5"/>
    </row>
    <row r="1363" spans="1:12" ht="15" customHeight="1">
      <c r="A1363" s="92"/>
      <c r="B1363" s="5"/>
      <c r="C1363" s="5"/>
      <c r="D1363" s="9"/>
      <c r="E1363" s="6"/>
      <c r="F1363" s="6"/>
      <c r="G1363" s="78"/>
      <c r="H1363" s="78"/>
      <c r="I1363" s="16"/>
      <c r="J1363" s="16"/>
      <c r="K1363" s="5"/>
      <c r="L1363" s="5"/>
    </row>
    <row r="1364" spans="1:12" ht="15" customHeight="1">
      <c r="A1364" s="92"/>
      <c r="B1364" s="5"/>
      <c r="C1364" s="5"/>
      <c r="D1364" s="9"/>
      <c r="E1364" s="6"/>
      <c r="F1364" s="6"/>
      <c r="G1364" s="78"/>
      <c r="H1364" s="78"/>
      <c r="I1364" s="16"/>
      <c r="J1364" s="16"/>
      <c r="K1364" s="5"/>
      <c r="L1364" s="5"/>
    </row>
    <row r="1365" spans="1:12" ht="15" customHeight="1">
      <c r="A1365" s="92"/>
      <c r="B1365" s="5"/>
      <c r="C1365" s="5"/>
      <c r="D1365" s="9"/>
      <c r="E1365" s="6"/>
      <c r="F1365" s="6"/>
      <c r="G1365" s="78"/>
      <c r="H1365" s="78"/>
      <c r="I1365" s="16"/>
      <c r="J1365" s="16"/>
      <c r="K1365" s="5"/>
      <c r="L1365" s="5"/>
    </row>
    <row r="1366" spans="1:12" ht="15" customHeight="1">
      <c r="A1366" s="92"/>
      <c r="B1366" s="5"/>
      <c r="C1366" s="5"/>
      <c r="D1366" s="9"/>
      <c r="E1366" s="6"/>
      <c r="F1366" s="6"/>
      <c r="G1366" s="78"/>
      <c r="H1366" s="78"/>
      <c r="I1366" s="16"/>
      <c r="J1366" s="16"/>
      <c r="K1366" s="5"/>
      <c r="L1366" s="5"/>
    </row>
    <row r="1367" spans="1:12" ht="15" customHeight="1">
      <c r="A1367" s="92"/>
      <c r="B1367" s="5"/>
      <c r="C1367" s="5"/>
      <c r="D1367" s="9"/>
      <c r="E1367" s="6"/>
      <c r="F1367" s="6"/>
      <c r="G1367" s="78"/>
      <c r="H1367" s="78"/>
      <c r="I1367" s="16"/>
      <c r="J1367" s="16"/>
      <c r="K1367" s="5"/>
      <c r="L1367" s="5"/>
    </row>
    <row r="1368" spans="1:12" ht="15" customHeight="1">
      <c r="A1368" s="92"/>
      <c r="B1368" s="5"/>
      <c r="C1368" s="5"/>
      <c r="D1368" s="9"/>
      <c r="E1368" s="6"/>
      <c r="F1368" s="6"/>
      <c r="G1368" s="78"/>
      <c r="H1368" s="78"/>
      <c r="I1368" s="16"/>
      <c r="J1368" s="16"/>
      <c r="K1368" s="5"/>
      <c r="L1368" s="5"/>
    </row>
    <row r="1369" spans="1:12" ht="15" customHeight="1">
      <c r="A1369" s="92"/>
      <c r="B1369" s="5"/>
      <c r="C1369" s="5"/>
      <c r="D1369" s="9"/>
      <c r="E1369" s="6"/>
      <c r="F1369" s="6"/>
      <c r="G1369" s="78"/>
      <c r="H1369" s="78"/>
      <c r="I1369" s="16"/>
      <c r="J1369" s="16"/>
      <c r="K1369" s="5"/>
      <c r="L1369" s="5"/>
    </row>
    <row r="1370" spans="1:12" ht="15" customHeight="1">
      <c r="A1370" s="92"/>
      <c r="B1370" s="5"/>
      <c r="C1370" s="5"/>
      <c r="D1370" s="9"/>
      <c r="E1370" s="6"/>
      <c r="F1370" s="6"/>
      <c r="G1370" s="78"/>
      <c r="H1370" s="78"/>
      <c r="I1370" s="16"/>
      <c r="J1370" s="16"/>
      <c r="K1370" s="5"/>
      <c r="L1370" s="5"/>
    </row>
    <row r="1371" spans="1:12" ht="15" customHeight="1">
      <c r="A1371" s="92"/>
      <c r="B1371" s="5"/>
      <c r="C1371" s="5"/>
      <c r="D1371" s="9"/>
      <c r="E1371" s="6"/>
      <c r="F1371" s="6"/>
      <c r="G1371" s="78"/>
      <c r="H1371" s="78"/>
      <c r="I1371" s="16"/>
      <c r="J1371" s="16"/>
      <c r="K1371" s="5"/>
      <c r="L1371" s="5"/>
    </row>
    <row r="1372" spans="1:12" ht="15" customHeight="1">
      <c r="A1372" s="92"/>
      <c r="B1372" s="5"/>
      <c r="C1372" s="5"/>
      <c r="D1372" s="9"/>
      <c r="E1372" s="6"/>
      <c r="F1372" s="6"/>
      <c r="G1372" s="78"/>
      <c r="H1372" s="78"/>
      <c r="I1372" s="16"/>
      <c r="J1372" s="16"/>
      <c r="K1372" s="5"/>
      <c r="L1372" s="5"/>
    </row>
    <row r="1373" spans="1:12" ht="15" customHeight="1">
      <c r="A1373" s="92"/>
      <c r="B1373" s="5"/>
      <c r="C1373" s="5"/>
      <c r="D1373" s="9"/>
      <c r="E1373" s="6"/>
      <c r="F1373" s="6"/>
      <c r="G1373" s="78"/>
      <c r="H1373" s="78"/>
      <c r="I1373" s="16"/>
      <c r="J1373" s="16"/>
      <c r="K1373" s="5"/>
      <c r="L1373" s="5"/>
    </row>
    <row r="1374" spans="1:12" ht="15" customHeight="1">
      <c r="A1374" s="92"/>
      <c r="B1374" s="5"/>
      <c r="C1374" s="5"/>
      <c r="D1374" s="9"/>
      <c r="E1374" s="6"/>
      <c r="F1374" s="6"/>
      <c r="G1374" s="78"/>
      <c r="H1374" s="78"/>
      <c r="I1374" s="16"/>
      <c r="J1374" s="16"/>
      <c r="K1374" s="5"/>
      <c r="L1374" s="5"/>
    </row>
    <row r="1375" spans="1:12" ht="15" customHeight="1">
      <c r="A1375" s="92"/>
      <c r="B1375" s="5"/>
      <c r="C1375" s="5"/>
      <c r="D1375" s="9"/>
      <c r="E1375" s="6"/>
      <c r="F1375" s="6"/>
      <c r="G1375" s="78"/>
      <c r="H1375" s="78"/>
      <c r="I1375" s="16"/>
      <c r="J1375" s="16"/>
      <c r="K1375" s="5"/>
      <c r="L1375" s="5"/>
    </row>
    <row r="1376" spans="1:12" ht="15" customHeight="1">
      <c r="A1376" s="92"/>
      <c r="B1376" s="5"/>
      <c r="C1376" s="5"/>
      <c r="D1376" s="9"/>
      <c r="E1376" s="6"/>
      <c r="F1376" s="6"/>
      <c r="G1376" s="78"/>
      <c r="H1376" s="78"/>
      <c r="I1376" s="16"/>
      <c r="J1376" s="16"/>
      <c r="K1376" s="5"/>
      <c r="L1376" s="5"/>
    </row>
    <row r="1377" spans="1:12" ht="15" customHeight="1">
      <c r="A1377" s="92"/>
      <c r="B1377" s="5"/>
      <c r="C1377" s="5"/>
      <c r="D1377" s="9"/>
      <c r="E1377" s="6"/>
      <c r="F1377" s="6"/>
      <c r="G1377" s="78"/>
      <c r="H1377" s="78"/>
      <c r="I1377" s="16"/>
      <c r="J1377" s="16"/>
      <c r="K1377" s="5"/>
      <c r="L1377" s="5"/>
    </row>
    <row r="1378" spans="1:12" ht="15" customHeight="1">
      <c r="A1378" s="92"/>
      <c r="B1378" s="5"/>
      <c r="C1378" s="5"/>
      <c r="D1378" s="9"/>
      <c r="E1378" s="6"/>
      <c r="F1378" s="6"/>
      <c r="G1378" s="78"/>
      <c r="H1378" s="78"/>
      <c r="I1378" s="16"/>
      <c r="J1378" s="16"/>
      <c r="K1378" s="5"/>
      <c r="L1378" s="5"/>
    </row>
    <row r="1379" spans="1:12" ht="15" customHeight="1">
      <c r="A1379" s="92"/>
      <c r="B1379" s="5"/>
      <c r="C1379" s="5"/>
      <c r="D1379" s="9"/>
      <c r="E1379" s="6"/>
      <c r="F1379" s="6"/>
      <c r="G1379" s="78"/>
      <c r="H1379" s="78"/>
      <c r="I1379" s="16"/>
      <c r="J1379" s="16"/>
      <c r="K1379" s="5"/>
      <c r="L1379" s="5"/>
    </row>
    <row r="1380" spans="1:12" ht="15" customHeight="1">
      <c r="A1380" s="92"/>
      <c r="B1380" s="5"/>
      <c r="C1380" s="5"/>
      <c r="D1380" s="9"/>
      <c r="E1380" s="6"/>
      <c r="F1380" s="6"/>
      <c r="G1380" s="78"/>
      <c r="H1380" s="78"/>
      <c r="I1380" s="16"/>
      <c r="J1380" s="16"/>
      <c r="K1380" s="5"/>
      <c r="L1380" s="5"/>
    </row>
    <row r="1381" spans="1:12" ht="15" customHeight="1">
      <c r="A1381" s="92"/>
      <c r="B1381" s="5"/>
      <c r="C1381" s="5"/>
      <c r="D1381" s="9"/>
      <c r="E1381" s="6"/>
      <c r="F1381" s="6"/>
      <c r="G1381" s="78"/>
      <c r="H1381" s="78"/>
      <c r="I1381" s="16"/>
      <c r="J1381" s="16"/>
      <c r="K1381" s="5"/>
      <c r="L1381" s="5"/>
    </row>
    <row r="1382" spans="1:12" ht="15" customHeight="1">
      <c r="A1382" s="92"/>
      <c r="B1382" s="5"/>
      <c r="C1382" s="5"/>
      <c r="D1382" s="9"/>
      <c r="E1382" s="6"/>
      <c r="F1382" s="6"/>
      <c r="G1382" s="78"/>
      <c r="H1382" s="78"/>
      <c r="I1382" s="16"/>
      <c r="J1382" s="16"/>
      <c r="K1382" s="5"/>
      <c r="L1382" s="5"/>
    </row>
    <row r="1383" spans="1:12" ht="15" customHeight="1">
      <c r="A1383" s="92"/>
      <c r="B1383" s="5"/>
      <c r="C1383" s="5"/>
      <c r="D1383" s="9"/>
      <c r="E1383" s="6"/>
      <c r="F1383" s="6"/>
      <c r="G1383" s="78"/>
      <c r="H1383" s="78"/>
      <c r="I1383" s="16"/>
      <c r="J1383" s="16"/>
      <c r="K1383" s="5"/>
      <c r="L1383" s="5"/>
    </row>
    <row r="1384" spans="1:12" ht="15" customHeight="1">
      <c r="A1384" s="92"/>
      <c r="B1384" s="5"/>
      <c r="C1384" s="5"/>
      <c r="D1384" s="9"/>
      <c r="E1384" s="6"/>
      <c r="F1384" s="6"/>
      <c r="G1384" s="78"/>
      <c r="H1384" s="78"/>
      <c r="I1384" s="16"/>
      <c r="J1384" s="16"/>
      <c r="K1384" s="5"/>
      <c r="L1384" s="5"/>
    </row>
    <row r="1385" spans="1:12" ht="15" customHeight="1">
      <c r="A1385" s="92"/>
      <c r="B1385" s="5"/>
      <c r="C1385" s="5"/>
      <c r="D1385" s="9"/>
      <c r="E1385" s="6"/>
      <c r="F1385" s="6"/>
      <c r="G1385" s="78"/>
      <c r="H1385" s="78"/>
      <c r="I1385" s="16"/>
      <c r="J1385" s="16"/>
      <c r="K1385" s="5"/>
      <c r="L1385" s="5"/>
    </row>
    <row r="1386" spans="1:12" ht="15" customHeight="1">
      <c r="A1386" s="92"/>
      <c r="B1386" s="5"/>
      <c r="C1386" s="5"/>
      <c r="D1386" s="9"/>
      <c r="E1386" s="6"/>
      <c r="F1386" s="6"/>
      <c r="G1386" s="78"/>
      <c r="H1386" s="78"/>
      <c r="I1386" s="16"/>
      <c r="J1386" s="16"/>
      <c r="K1386" s="5"/>
      <c r="L1386" s="5"/>
    </row>
    <row r="1387" spans="1:12" ht="15" customHeight="1">
      <c r="A1387" s="92"/>
      <c r="B1387" s="5"/>
      <c r="C1387" s="5"/>
      <c r="D1387" s="9"/>
      <c r="E1387" s="6"/>
      <c r="F1387" s="6"/>
      <c r="G1387" s="78"/>
      <c r="H1387" s="78"/>
      <c r="I1387" s="16"/>
      <c r="J1387" s="16"/>
      <c r="K1387" s="5"/>
      <c r="L1387" s="5"/>
    </row>
    <row r="1388" spans="1:12" ht="15" customHeight="1">
      <c r="A1388" s="92"/>
      <c r="B1388" s="5"/>
      <c r="C1388" s="5"/>
      <c r="D1388" s="9"/>
      <c r="E1388" s="6"/>
      <c r="F1388" s="6"/>
      <c r="G1388" s="78"/>
      <c r="H1388" s="78"/>
      <c r="I1388" s="16"/>
      <c r="J1388" s="16"/>
      <c r="K1388" s="5"/>
      <c r="L1388" s="5"/>
    </row>
    <row r="1389" spans="1:12" ht="15" customHeight="1">
      <c r="A1389" s="92"/>
      <c r="B1389" s="5"/>
      <c r="C1389" s="5"/>
      <c r="D1389" s="9"/>
      <c r="E1389" s="6"/>
      <c r="F1389" s="6"/>
      <c r="G1389" s="78"/>
      <c r="H1389" s="78"/>
      <c r="I1389" s="16"/>
      <c r="J1389" s="16"/>
      <c r="K1389" s="5"/>
      <c r="L1389" s="5"/>
    </row>
    <row r="1390" spans="1:12" ht="15" customHeight="1">
      <c r="A1390" s="92"/>
      <c r="B1390" s="5"/>
      <c r="C1390" s="5"/>
      <c r="D1390" s="9"/>
      <c r="E1390" s="6"/>
      <c r="F1390" s="6"/>
      <c r="G1390" s="78"/>
      <c r="H1390" s="78"/>
      <c r="I1390" s="16"/>
      <c r="J1390" s="16"/>
      <c r="K1390" s="5"/>
      <c r="L1390" s="5"/>
    </row>
    <row r="1391" spans="1:12" ht="15" customHeight="1">
      <c r="A1391" s="92"/>
      <c r="B1391" s="5"/>
      <c r="C1391" s="5"/>
      <c r="D1391" s="9"/>
      <c r="E1391" s="6"/>
      <c r="F1391" s="6"/>
      <c r="G1391" s="78"/>
      <c r="H1391" s="78"/>
      <c r="I1391" s="16"/>
      <c r="J1391" s="16"/>
      <c r="K1391" s="5"/>
      <c r="L1391" s="5"/>
    </row>
    <row r="1392" spans="1:12" ht="15" customHeight="1">
      <c r="A1392" s="92"/>
      <c r="B1392" s="5"/>
      <c r="C1392" s="5"/>
      <c r="D1392" s="9"/>
      <c r="E1392" s="6"/>
      <c r="F1392" s="6"/>
      <c r="G1392" s="78"/>
      <c r="H1392" s="78"/>
      <c r="I1392" s="16"/>
      <c r="J1392" s="16"/>
      <c r="K1392" s="5"/>
      <c r="L1392" s="5"/>
    </row>
    <row r="1393" spans="1:12" ht="15" customHeight="1">
      <c r="A1393" s="92"/>
      <c r="B1393" s="5"/>
      <c r="C1393" s="5"/>
      <c r="D1393" s="9"/>
      <c r="E1393" s="6"/>
      <c r="F1393" s="6"/>
      <c r="G1393" s="78"/>
      <c r="H1393" s="78"/>
      <c r="I1393" s="16"/>
      <c r="J1393" s="16"/>
      <c r="K1393" s="5"/>
      <c r="L1393" s="5"/>
    </row>
    <row r="1394" spans="1:12" ht="15" customHeight="1">
      <c r="A1394" s="92"/>
      <c r="B1394" s="5"/>
      <c r="C1394" s="5"/>
      <c r="D1394" s="9"/>
      <c r="E1394" s="6"/>
      <c r="F1394" s="6"/>
      <c r="G1394" s="78"/>
      <c r="H1394" s="78"/>
      <c r="I1394" s="16"/>
      <c r="J1394" s="16"/>
      <c r="K1394" s="5"/>
      <c r="L1394" s="5"/>
    </row>
    <row r="1395" spans="1:12" ht="15" customHeight="1">
      <c r="A1395" s="92"/>
      <c r="B1395" s="5"/>
      <c r="C1395" s="5"/>
      <c r="D1395" s="9"/>
      <c r="E1395" s="6"/>
      <c r="F1395" s="6"/>
      <c r="G1395" s="78"/>
      <c r="H1395" s="78"/>
      <c r="I1395" s="16"/>
      <c r="J1395" s="16"/>
      <c r="K1395" s="5"/>
      <c r="L1395" s="5"/>
    </row>
    <row r="1396" spans="1:12" ht="15" customHeight="1">
      <c r="A1396" s="92"/>
      <c r="B1396" s="5"/>
      <c r="C1396" s="5"/>
      <c r="D1396" s="9"/>
      <c r="E1396" s="6"/>
      <c r="F1396" s="6"/>
      <c r="G1396" s="78"/>
      <c r="H1396" s="78"/>
      <c r="I1396" s="16"/>
      <c r="J1396" s="16"/>
      <c r="K1396" s="5"/>
      <c r="L1396" s="5"/>
    </row>
    <row r="1397" spans="1:12" ht="15" customHeight="1">
      <c r="A1397" s="92"/>
      <c r="B1397" s="5"/>
      <c r="C1397" s="5"/>
      <c r="D1397" s="9"/>
      <c r="E1397" s="6"/>
      <c r="F1397" s="6"/>
      <c r="G1397" s="78"/>
      <c r="H1397" s="78"/>
      <c r="I1397" s="16"/>
      <c r="J1397" s="16"/>
      <c r="K1397" s="5"/>
      <c r="L1397" s="5"/>
    </row>
    <row r="1398" spans="1:12" ht="15" customHeight="1">
      <c r="A1398" s="92"/>
      <c r="B1398" s="5"/>
      <c r="C1398" s="5"/>
      <c r="D1398" s="9"/>
      <c r="E1398" s="6"/>
      <c r="F1398" s="6"/>
      <c r="G1398" s="78"/>
      <c r="H1398" s="78"/>
      <c r="I1398" s="16"/>
      <c r="J1398" s="16"/>
      <c r="K1398" s="5"/>
      <c r="L1398" s="5"/>
    </row>
    <row r="1399" spans="1:12" ht="15" customHeight="1">
      <c r="A1399" s="92"/>
      <c r="B1399" s="5"/>
      <c r="C1399" s="5"/>
      <c r="D1399" s="9"/>
      <c r="E1399" s="6"/>
      <c r="F1399" s="6"/>
      <c r="G1399" s="78"/>
      <c r="H1399" s="78"/>
      <c r="I1399" s="16"/>
      <c r="J1399" s="16"/>
      <c r="K1399" s="5"/>
      <c r="L1399" s="5"/>
    </row>
    <row r="1400" spans="1:12" ht="15" customHeight="1">
      <c r="A1400" s="92"/>
      <c r="B1400" s="5"/>
      <c r="C1400" s="5"/>
      <c r="D1400" s="9"/>
      <c r="E1400" s="6"/>
      <c r="F1400" s="6"/>
      <c r="G1400" s="78"/>
      <c r="H1400" s="78"/>
      <c r="I1400" s="16"/>
      <c r="J1400" s="16"/>
      <c r="K1400" s="5"/>
      <c r="L1400" s="5"/>
    </row>
    <row r="1401" spans="1:12" ht="15" customHeight="1">
      <c r="A1401" s="92"/>
      <c r="B1401" s="5"/>
      <c r="C1401" s="5"/>
      <c r="D1401" s="9"/>
      <c r="E1401" s="6"/>
      <c r="F1401" s="6"/>
      <c r="G1401" s="78"/>
      <c r="H1401" s="78"/>
      <c r="I1401" s="16"/>
      <c r="J1401" s="16"/>
      <c r="K1401" s="5"/>
      <c r="L1401" s="5"/>
    </row>
    <row r="1402" spans="1:12" ht="17.100000000000001" customHeight="1">
      <c r="G1402" s="79"/>
      <c r="H1402" s="79"/>
    </row>
    <row r="1403" spans="1:12" ht="17.100000000000001" customHeight="1">
      <c r="G1403" s="79"/>
      <c r="H1403" s="79"/>
    </row>
    <row r="1404" spans="1:12" ht="17.100000000000001" customHeight="1">
      <c r="G1404" s="79"/>
      <c r="H1404" s="79"/>
    </row>
    <row r="1405" spans="1:12" ht="17.100000000000001" customHeight="1">
      <c r="G1405" s="79"/>
      <c r="H1405" s="79"/>
    </row>
    <row r="1406" spans="1:12" ht="17.100000000000001" customHeight="1">
      <c r="G1406" s="79"/>
      <c r="H1406" s="79"/>
    </row>
    <row r="1407" spans="1:12" ht="17.100000000000001" customHeight="1">
      <c r="G1407" s="79"/>
      <c r="H1407" s="79"/>
    </row>
    <row r="1408" spans="1:12" ht="17.100000000000001" customHeight="1">
      <c r="G1408" s="79"/>
      <c r="H1408" s="79"/>
    </row>
    <row r="1409" spans="7:8" ht="17.100000000000001" customHeight="1">
      <c r="G1409" s="79"/>
      <c r="H1409" s="79"/>
    </row>
    <row r="1410" spans="7:8" ht="17.100000000000001" customHeight="1">
      <c r="G1410" s="79"/>
      <c r="H1410" s="79"/>
    </row>
    <row r="1411" spans="7:8" ht="17.100000000000001" customHeight="1">
      <c r="G1411" s="79"/>
      <c r="H1411" s="79"/>
    </row>
    <row r="1412" spans="7:8" ht="17.100000000000001" customHeight="1">
      <c r="G1412" s="79"/>
      <c r="H1412" s="79"/>
    </row>
    <row r="1413" spans="7:8" ht="17.100000000000001" customHeight="1">
      <c r="G1413" s="79"/>
      <c r="H1413" s="79"/>
    </row>
    <row r="1414" spans="7:8" ht="17.100000000000001" customHeight="1">
      <c r="G1414" s="79"/>
      <c r="H1414" s="79"/>
    </row>
    <row r="1415" spans="7:8" ht="17.100000000000001" customHeight="1">
      <c r="G1415" s="79"/>
      <c r="H1415" s="79"/>
    </row>
    <row r="1416" spans="7:8" ht="17.100000000000001" customHeight="1">
      <c r="G1416" s="79"/>
      <c r="H1416" s="79"/>
    </row>
    <row r="1417" spans="7:8" ht="17.100000000000001" customHeight="1">
      <c r="G1417" s="79"/>
      <c r="H1417" s="79"/>
    </row>
    <row r="1418" spans="7:8" ht="17.100000000000001" customHeight="1">
      <c r="G1418" s="79"/>
      <c r="H1418" s="79"/>
    </row>
    <row r="1419" spans="7:8" ht="17.100000000000001" customHeight="1">
      <c r="G1419" s="79"/>
      <c r="H1419" s="79"/>
    </row>
    <row r="1420" spans="7:8" ht="17.100000000000001" customHeight="1">
      <c r="G1420" s="79"/>
      <c r="H1420" s="79"/>
    </row>
    <row r="1421" spans="7:8" ht="17.100000000000001" customHeight="1">
      <c r="G1421" s="79"/>
      <c r="H1421" s="79"/>
    </row>
    <row r="1422" spans="7:8" ht="17.100000000000001" customHeight="1">
      <c r="G1422" s="79"/>
      <c r="H1422" s="79"/>
    </row>
    <row r="1423" spans="7:8" ht="17.100000000000001" customHeight="1">
      <c r="G1423" s="79"/>
      <c r="H1423" s="79"/>
    </row>
    <row r="1424" spans="7:8" ht="17.100000000000001" customHeight="1">
      <c r="G1424" s="79"/>
      <c r="H1424" s="79"/>
    </row>
    <row r="1425" spans="7:8" ht="17.100000000000001" customHeight="1">
      <c r="G1425" s="79"/>
      <c r="H1425" s="79"/>
    </row>
    <row r="1426" spans="7:8" ht="17.100000000000001" customHeight="1">
      <c r="G1426" s="79"/>
      <c r="H1426" s="79"/>
    </row>
    <row r="1427" spans="7:8" ht="17.100000000000001" customHeight="1">
      <c r="G1427" s="79"/>
      <c r="H1427" s="79"/>
    </row>
    <row r="1428" spans="7:8" ht="17.100000000000001" customHeight="1">
      <c r="G1428" s="79"/>
      <c r="H1428" s="79"/>
    </row>
    <row r="1429" spans="7:8" ht="17.100000000000001" customHeight="1">
      <c r="G1429" s="79"/>
      <c r="H1429" s="79"/>
    </row>
    <row r="1430" spans="7:8" ht="17.100000000000001" customHeight="1">
      <c r="G1430" s="79"/>
      <c r="H1430" s="79"/>
    </row>
  </sheetData>
  <autoFilter ref="A2:L756">
    <filterColumn colId="0">
      <filters>
        <filter val="10.A"/>
      </filters>
    </filterColumn>
  </autoFilter>
  <mergeCells count="1">
    <mergeCell ref="A1:L1"/>
  </mergeCells>
  <phoneticPr fontId="3" type="noConversion"/>
  <conditionalFormatting sqref="G1:H1048576">
    <cfRule type="containsText" dxfId="221" priority="2" operator="containsText" text="NÃO OK">
      <formula>NOT(ISERROR(SEARCH("NÃO OK",G1)))</formula>
    </cfRule>
    <cfRule type="containsText" dxfId="220" priority="3" operator="containsText" text="OK">
      <formula>NOT(ISERROR(SEARCH("OK",G1)))</formula>
    </cfRule>
  </conditionalFormatting>
  <conditionalFormatting sqref="L2:L1048576">
    <cfRule type="containsText" dxfId="219" priority="205" operator="containsText" text="Desenvolvimento">
      <formula>NOT(ISERROR(SEARCH("Desenvolvimento",L2)))</formula>
    </cfRule>
    <cfRule type="containsText" dxfId="218" priority="204" operator="containsText" text="EM MODIF.">
      <formula>NOT(ISERROR(SEARCH("EM MODIF.",L2)))</formula>
    </cfRule>
    <cfRule type="containsText" dxfId="217" priority="203" operator="containsText" text="TERCEIRO">
      <formula>NOT(ISERROR(SEARCH("TERCEIRO",L2)))</formula>
    </cfRule>
  </conditionalFormatting>
  <conditionalFormatting sqref="L3:L169 L172:L180 L188:L283 L285:L372 L374:L385 L387:L487 L489:L490 L492:L509 L511:L512 L514:L542 L544:L1401">
    <cfRule type="cellIs" dxfId="216" priority="1079" stopIfTrue="1" operator="equal">
      <formula>"Calibrado"</formula>
    </cfRule>
    <cfRule type="cellIs" dxfId="215" priority="1078" stopIfTrue="1" operator="equal">
      <formula>"Atrasado"</formula>
    </cfRule>
    <cfRule type="cellIs" dxfId="214" priority="1080" stopIfTrue="1" operator="equal">
      <formula>"Aguardando Calibração"</formula>
    </cfRule>
    <cfRule type="cellIs" dxfId="213" priority="1077" stopIfTrue="1" operator="equal">
      <formula>"Permanente"</formula>
    </cfRule>
  </conditionalFormatting>
  <conditionalFormatting sqref="L3:L169 L172:L180 L188:L484 L486:L487 L489:L490 L499:L509 L511:L512 L520:L542 L544:L1401">
    <cfRule type="cellIs" dxfId="212" priority="1076" stopIfTrue="1" operator="equal">
      <formula>"Calibrado"</formula>
    </cfRule>
  </conditionalFormatting>
  <conditionalFormatting sqref="L3:L169 L281:L542 L172:L180 L188:L258 L544:L1401">
    <cfRule type="cellIs" dxfId="211" priority="1075" operator="equal">
      <formula>"Fechado"</formula>
    </cfRule>
  </conditionalFormatting>
  <conditionalFormatting sqref="L3:L180 L281:L1401 L187:L258">
    <cfRule type="cellIs" dxfId="210" priority="901" stopIfTrue="1" operator="equal">
      <formula>"Atrasado"</formula>
    </cfRule>
  </conditionalFormatting>
  <conditionalFormatting sqref="L32:L35 L37:L38 L40:L57 L60:L63 L66:L78 L80:L82 L84:L163 L305 L307 L310:L312 L318 L346">
    <cfRule type="cellIs" dxfId="209" priority="903" stopIfTrue="1" operator="equal">
      <formula>"Calibrado"</formula>
    </cfRule>
    <cfRule type="cellIs" dxfId="208" priority="907" stopIfTrue="1" operator="equal">
      <formula>"Aguardando Calibração"</formula>
    </cfRule>
    <cfRule type="cellIs" dxfId="207" priority="904" stopIfTrue="1" operator="equal">
      <formula>"Permanente"</formula>
    </cfRule>
    <cfRule type="cellIs" dxfId="206" priority="905" stopIfTrue="1" operator="equal">
      <formula>"Atrasado"</formula>
    </cfRule>
    <cfRule type="cellIs" dxfId="205" priority="906" stopIfTrue="1" operator="equal">
      <formula>"Calibrado"</formula>
    </cfRule>
    <cfRule type="cellIs" dxfId="204" priority="902" operator="equal">
      <formula>"Fechado"</formula>
    </cfRule>
  </conditionalFormatting>
  <conditionalFormatting sqref="L35">
    <cfRule type="cellIs" dxfId="203" priority="892" operator="equal">
      <formula>"Fechado"</formula>
    </cfRule>
    <cfRule type="cellIs" dxfId="202" priority="897" stopIfTrue="1" operator="equal">
      <formula>"Aguardando Calibração"</formula>
    </cfRule>
    <cfRule type="cellIs" dxfId="201" priority="896" stopIfTrue="1" operator="equal">
      <formula>"Calibrado"</formula>
    </cfRule>
    <cfRule type="cellIs" dxfId="200" priority="894" stopIfTrue="1" operator="equal">
      <formula>"Permanente"</formula>
    </cfRule>
    <cfRule type="cellIs" dxfId="199" priority="893" stopIfTrue="1" operator="equal">
      <formula>"Calibrado"</formula>
    </cfRule>
  </conditionalFormatting>
  <conditionalFormatting sqref="L79">
    <cfRule type="cellIs" dxfId="198" priority="11" stopIfTrue="1" operator="equal">
      <formula>"Calibrado"</formula>
    </cfRule>
    <cfRule type="cellIs" dxfId="197" priority="12" stopIfTrue="1" operator="equal">
      <formula>"Aguardando Calibração"</formula>
    </cfRule>
    <cfRule type="cellIs" dxfId="196" priority="10" stopIfTrue="1" operator="equal">
      <formula>"Permanente"</formula>
    </cfRule>
  </conditionalFormatting>
  <conditionalFormatting sqref="L103">
    <cfRule type="cellIs" dxfId="195" priority="624" stopIfTrue="1" operator="equal">
      <formula>"Atrasado"</formula>
    </cfRule>
    <cfRule type="cellIs" dxfId="194" priority="627" stopIfTrue="1" operator="equal">
      <formula>"Permanente"</formula>
    </cfRule>
    <cfRule type="cellIs" dxfId="193" priority="629" stopIfTrue="1" operator="equal">
      <formula>"Calibrado"</formula>
    </cfRule>
    <cfRule type="cellIs" dxfId="192" priority="630" stopIfTrue="1" operator="equal">
      <formula>"Aguardando Calibração"</formula>
    </cfRule>
    <cfRule type="cellIs" dxfId="191" priority="626" stopIfTrue="1" operator="equal">
      <formula>"Calibrado"</formula>
    </cfRule>
    <cfRule type="cellIs" dxfId="190" priority="625" operator="equal">
      <formula>"Fechado"</formula>
    </cfRule>
  </conditionalFormatting>
  <conditionalFormatting sqref="L105:L106">
    <cfRule type="cellIs" dxfId="189" priority="597" stopIfTrue="1" operator="equal">
      <formula>"Permanente"</formula>
    </cfRule>
    <cfRule type="cellIs" dxfId="188" priority="599" stopIfTrue="1" operator="equal">
      <formula>"Calibrado"</formula>
    </cfRule>
    <cfRule type="cellIs" dxfId="187" priority="598" stopIfTrue="1" operator="equal">
      <formula>"Atrasado"</formula>
    </cfRule>
    <cfRule type="cellIs" dxfId="186" priority="600" stopIfTrue="1" operator="equal">
      <formula>"Aguardando Calibração"</formula>
    </cfRule>
  </conditionalFormatting>
  <conditionalFormatting sqref="L105:L107">
    <cfRule type="cellIs" dxfId="185" priority="589" stopIfTrue="1" operator="equal">
      <formula>"Calibrado"</formula>
    </cfRule>
    <cfRule type="cellIs" dxfId="184" priority="585" operator="equal">
      <formula>"Fechado"</formula>
    </cfRule>
  </conditionalFormatting>
  <conditionalFormatting sqref="L107">
    <cfRule type="cellIs" dxfId="183" priority="498" stopIfTrue="1" operator="equal">
      <formula>"Atrasado"</formula>
    </cfRule>
    <cfRule type="cellIs" dxfId="182" priority="587" stopIfTrue="1" operator="equal">
      <formula>"Permanente"</formula>
    </cfRule>
    <cfRule type="cellIs" dxfId="181" priority="590" stopIfTrue="1" operator="equal">
      <formula>"Aguardando Calibração"</formula>
    </cfRule>
    <cfRule type="cellIs" dxfId="180" priority="586" stopIfTrue="1" operator="equal">
      <formula>"Calibrado"</formula>
    </cfRule>
  </conditionalFormatting>
  <conditionalFormatting sqref="L109:L110">
    <cfRule type="cellIs" dxfId="179" priority="1017" stopIfTrue="1" operator="equal">
      <formula>"Aguardando Calibração"</formula>
    </cfRule>
    <cfRule type="cellIs" dxfId="178" priority="1016" stopIfTrue="1" operator="equal">
      <formula>"Calibrado"</formula>
    </cfRule>
    <cfRule type="cellIs" dxfId="177" priority="1014" stopIfTrue="1" operator="equal">
      <formula>"Permanente"</formula>
    </cfRule>
    <cfRule type="cellIs" dxfId="176" priority="1013" stopIfTrue="1" operator="equal">
      <formula>"Calibrado"</formula>
    </cfRule>
    <cfRule type="cellIs" dxfId="175" priority="1012" operator="equal">
      <formula>"Fechado"</formula>
    </cfRule>
    <cfRule type="cellIs" dxfId="174" priority="1011" stopIfTrue="1" operator="equal">
      <formula>"Atrasado"</formula>
    </cfRule>
  </conditionalFormatting>
  <conditionalFormatting sqref="L135">
    <cfRule type="cellIs" dxfId="173" priority="370" stopIfTrue="1" operator="equal">
      <formula>"Aguardando Calibração"</formula>
    </cfRule>
    <cfRule type="cellIs" dxfId="172" priority="369" stopIfTrue="1" operator="equal">
      <formula>"Calibrado"</formula>
    </cfRule>
    <cfRule type="cellIs" dxfId="171" priority="366" stopIfTrue="1" operator="equal">
      <formula>"Calibrado"</formula>
    </cfRule>
    <cfRule type="cellIs" dxfId="170" priority="365" operator="equal">
      <formula>"Fechado"</formula>
    </cfRule>
    <cfRule type="cellIs" dxfId="169" priority="364" stopIfTrue="1" operator="equal">
      <formula>"Atrasado"</formula>
    </cfRule>
    <cfRule type="cellIs" dxfId="168" priority="367" stopIfTrue="1" operator="equal">
      <formula>"Permanente"</formula>
    </cfRule>
  </conditionalFormatting>
  <conditionalFormatting sqref="L135:L136">
    <cfRule type="cellIs" dxfId="167" priority="368" stopIfTrue="1" operator="equal">
      <formula>"Atrasado"</formula>
    </cfRule>
  </conditionalFormatting>
  <conditionalFormatting sqref="L136">
    <cfRule type="cellIs" dxfId="166" priority="518" stopIfTrue="1" operator="equal">
      <formula>"Atrasado"</formula>
    </cfRule>
    <cfRule type="cellIs" dxfId="165" priority="520" stopIfTrue="1" operator="equal">
      <formula>"Aguardando Calibração"</formula>
    </cfRule>
    <cfRule type="cellIs" dxfId="164" priority="517" stopIfTrue="1" operator="equal">
      <formula>"Permanente"</formula>
    </cfRule>
    <cfRule type="cellIs" dxfId="163" priority="516" stopIfTrue="1" operator="equal">
      <formula>"Calibrado"</formula>
    </cfRule>
    <cfRule type="cellIs" dxfId="162" priority="515" operator="equal">
      <formula>"Fechado"</formula>
    </cfRule>
    <cfRule type="cellIs" dxfId="161" priority="519" stopIfTrue="1" operator="equal">
      <formula>"Calibrado"</formula>
    </cfRule>
  </conditionalFormatting>
  <conditionalFormatting sqref="L137">
    <cfRule type="cellIs" dxfId="160" priority="358" stopIfTrue="1" operator="equal">
      <formula>"Atrasado"</formula>
    </cfRule>
    <cfRule type="cellIs" dxfId="159" priority="357" stopIfTrue="1" operator="equal">
      <formula>"Permanente"</formula>
    </cfRule>
    <cfRule type="cellIs" dxfId="158" priority="356" stopIfTrue="1" operator="equal">
      <formula>"Calibrado"</formula>
    </cfRule>
    <cfRule type="cellIs" dxfId="157" priority="355" operator="equal">
      <formula>"Fechado"</formula>
    </cfRule>
    <cfRule type="cellIs" dxfId="156" priority="360" stopIfTrue="1" operator="equal">
      <formula>"Aguardando Calibração"</formula>
    </cfRule>
    <cfRule type="cellIs" dxfId="155" priority="359" stopIfTrue="1" operator="equal">
      <formula>"Calibrado"</formula>
    </cfRule>
  </conditionalFormatting>
  <conditionalFormatting sqref="L137:L138">
    <cfRule type="cellIs" dxfId="154" priority="328" stopIfTrue="1" operator="equal">
      <formula>"Atrasado"</formula>
    </cfRule>
  </conditionalFormatting>
  <conditionalFormatting sqref="L138">
    <cfRule type="cellIs" dxfId="153" priority="324" stopIfTrue="1" operator="equal">
      <formula>"Atrasado"</formula>
    </cfRule>
    <cfRule type="cellIs" dxfId="152" priority="325" operator="equal">
      <formula>"Fechado"</formula>
    </cfRule>
    <cfRule type="cellIs" dxfId="151" priority="326" stopIfTrue="1" operator="equal">
      <formula>"Calibrado"</formula>
    </cfRule>
    <cfRule type="cellIs" dxfId="150" priority="327" stopIfTrue="1" operator="equal">
      <formula>"Permanente"</formula>
    </cfRule>
    <cfRule type="cellIs" dxfId="149" priority="329" stopIfTrue="1" operator="equal">
      <formula>"Calibrado"</formula>
    </cfRule>
    <cfRule type="cellIs" dxfId="148" priority="330" stopIfTrue="1" operator="equal">
      <formula>"Aguardando Calibração"</formula>
    </cfRule>
  </conditionalFormatting>
  <conditionalFormatting sqref="L139">
    <cfRule type="cellIs" dxfId="147" priority="568" stopIfTrue="1" operator="equal">
      <formula>"Atrasado"</formula>
    </cfRule>
    <cfRule type="cellIs" dxfId="146" priority="569" stopIfTrue="1" operator="equal">
      <formula>"Calibrado"</formula>
    </cfRule>
    <cfRule type="cellIs" dxfId="145" priority="570" stopIfTrue="1" operator="equal">
      <formula>"Aguardando Calibração"</formula>
    </cfRule>
  </conditionalFormatting>
  <conditionalFormatting sqref="L139:L140">
    <cfRule type="cellIs" dxfId="144" priority="437" stopIfTrue="1" operator="equal">
      <formula>"Permanente"</formula>
    </cfRule>
  </conditionalFormatting>
  <conditionalFormatting sqref="L140">
    <cfRule type="cellIs" dxfId="143" priority="434" stopIfTrue="1" operator="equal">
      <formula>"Atrasado"</formula>
    </cfRule>
    <cfRule type="cellIs" dxfId="142" priority="436" stopIfTrue="1" operator="equal">
      <formula>"Calibrado"</formula>
    </cfRule>
    <cfRule type="cellIs" dxfId="141" priority="440" stopIfTrue="1" operator="equal">
      <formula>"Aguardando Calibração"</formula>
    </cfRule>
  </conditionalFormatting>
  <conditionalFormatting sqref="L140:L141">
    <cfRule type="cellIs" dxfId="140" priority="435" operator="equal">
      <formula>"Fechado"</formula>
    </cfRule>
    <cfRule type="cellIs" dxfId="139" priority="439" stopIfTrue="1" operator="equal">
      <formula>"Calibrado"</formula>
    </cfRule>
  </conditionalFormatting>
  <conditionalFormatting sqref="L141">
    <cfRule type="cellIs" dxfId="138" priority="477" stopIfTrue="1" operator="equal">
      <formula>"Permanente"</formula>
    </cfRule>
    <cfRule type="cellIs" dxfId="137" priority="479" stopIfTrue="1" operator="equal">
      <formula>"Calibrado"</formula>
    </cfRule>
    <cfRule type="cellIs" dxfId="136" priority="480" stopIfTrue="1" operator="equal">
      <formula>"Aguardando Calibração"</formula>
    </cfRule>
  </conditionalFormatting>
  <conditionalFormatting sqref="L142">
    <cfRule type="cellIs" dxfId="135" priority="430" stopIfTrue="1" operator="equal">
      <formula>"Aguardando Calibração"</formula>
    </cfRule>
    <cfRule type="cellIs" dxfId="134" priority="429" stopIfTrue="1" operator="equal">
      <formula>"Calibrado"</formula>
    </cfRule>
    <cfRule type="cellIs" dxfId="133" priority="217" stopIfTrue="1" operator="equal">
      <formula>"Atrasado"</formula>
    </cfRule>
    <cfRule type="cellIs" dxfId="132" priority="425" operator="equal">
      <formula>"Fechado"</formula>
    </cfRule>
    <cfRule type="cellIs" dxfId="131" priority="426" stopIfTrue="1" operator="equal">
      <formula>"Calibrado"</formula>
    </cfRule>
    <cfRule type="cellIs" dxfId="130" priority="427" stopIfTrue="1" operator="equal">
      <formula>"Permanente"</formula>
    </cfRule>
  </conditionalFormatting>
  <conditionalFormatting sqref="L170 L527:L528">
    <cfRule type="cellIs" dxfId="129" priority="777" stopIfTrue="1" operator="equal">
      <formula>"Permanente"</formula>
    </cfRule>
    <cfRule type="cellIs" dxfId="128" priority="779" stopIfTrue="1" operator="equal">
      <formula>"Calibrado"</formula>
    </cfRule>
    <cfRule type="cellIs" dxfId="127" priority="780" stopIfTrue="1" operator="equal">
      <formula>"Aguardando Calibração"</formula>
    </cfRule>
  </conditionalFormatting>
  <conditionalFormatting sqref="L170:L171 L283 L187">
    <cfRule type="cellIs" dxfId="126" priority="765" operator="equal">
      <formula>"Fechado"</formula>
    </cfRule>
    <cfRule type="cellIs" dxfId="125" priority="769" stopIfTrue="1" operator="equal">
      <formula>"Calibrado"</formula>
    </cfRule>
  </conditionalFormatting>
  <conditionalFormatting sqref="L171 L283">
    <cfRule type="cellIs" dxfId="124" priority="767" stopIfTrue="1" operator="equal">
      <formula>"Permanente"</formula>
    </cfRule>
    <cfRule type="cellIs" dxfId="123" priority="770" stopIfTrue="1" operator="equal">
      <formula>"Aguardando Calibração"</formula>
    </cfRule>
    <cfRule type="cellIs" dxfId="122" priority="764" stopIfTrue="1" operator="equal">
      <formula>"Atrasado"</formula>
    </cfRule>
    <cfRule type="cellIs" dxfId="121" priority="766" stopIfTrue="1" operator="equal">
      <formula>"Calibrado"</formula>
    </cfRule>
  </conditionalFormatting>
  <conditionalFormatting sqref="L181">
    <cfRule type="cellIs" dxfId="120" priority="736" stopIfTrue="1" operator="equal">
      <formula>"Calibrado"</formula>
    </cfRule>
    <cfRule type="cellIs" dxfId="119" priority="737" stopIfTrue="1" operator="equal">
      <formula>"Permanente"</formula>
    </cfRule>
    <cfRule type="cellIs" dxfId="118" priority="738" stopIfTrue="1" operator="equal">
      <formula>"Atrasado"</formula>
    </cfRule>
    <cfRule type="cellIs" dxfId="117" priority="740" stopIfTrue="1" operator="equal">
      <formula>"Aguardando Calibração"</formula>
    </cfRule>
    <cfRule type="cellIs" dxfId="116" priority="739" stopIfTrue="1" operator="equal">
      <formula>"Calibrado"</formula>
    </cfRule>
    <cfRule type="cellIs" dxfId="115" priority="735" operator="equal">
      <formula>"Fechado"</formula>
    </cfRule>
  </conditionalFormatting>
  <conditionalFormatting sqref="L181:L183">
    <cfRule type="cellIs" dxfId="114" priority="718" stopIfTrue="1" operator="equal">
      <formula>"Atrasado"</formula>
    </cfRule>
  </conditionalFormatting>
  <conditionalFormatting sqref="L182">
    <cfRule type="cellIs" dxfId="113" priority="719" stopIfTrue="1" operator="equal">
      <formula>"Calibrado"</formula>
    </cfRule>
    <cfRule type="cellIs" dxfId="112" priority="720" stopIfTrue="1" operator="equal">
      <formula>"Aguardando Calibração"</formula>
    </cfRule>
    <cfRule type="cellIs" dxfId="111" priority="717" stopIfTrue="1" operator="equal">
      <formula>"Permanente"</formula>
    </cfRule>
    <cfRule type="cellIs" dxfId="110" priority="716" stopIfTrue="1" operator="equal">
      <formula>"Calibrado"</formula>
    </cfRule>
    <cfRule type="cellIs" dxfId="109" priority="715" operator="equal">
      <formula>"Fechado"</formula>
    </cfRule>
    <cfRule type="cellIs" dxfId="108" priority="714" stopIfTrue="1" operator="equal">
      <formula>"Atrasado"</formula>
    </cfRule>
  </conditionalFormatting>
  <conditionalFormatting sqref="L183">
    <cfRule type="cellIs" dxfId="107" priority="728" stopIfTrue="1" operator="equal">
      <formula>"Atrasado"</formula>
    </cfRule>
    <cfRule type="cellIs" dxfId="106" priority="725" operator="equal">
      <formula>"Fechado"</formula>
    </cfRule>
    <cfRule type="cellIs" dxfId="105" priority="726" stopIfTrue="1" operator="equal">
      <formula>"Calibrado"</formula>
    </cfRule>
    <cfRule type="cellIs" dxfId="104" priority="727" stopIfTrue="1" operator="equal">
      <formula>"Permanente"</formula>
    </cfRule>
    <cfRule type="cellIs" dxfId="103" priority="729" stopIfTrue="1" operator="equal">
      <formula>"Calibrado"</formula>
    </cfRule>
    <cfRule type="cellIs" dxfId="102" priority="730" stopIfTrue="1" operator="equal">
      <formula>"Aguardando Calibração"</formula>
    </cfRule>
  </conditionalFormatting>
  <conditionalFormatting sqref="L184">
    <cfRule type="cellIs" dxfId="101" priority="201" stopIfTrue="1" operator="equal">
      <formula>"Calibrado"</formula>
    </cfRule>
    <cfRule type="cellIs" dxfId="100" priority="190" stopIfTrue="1" operator="equal">
      <formula>"Atrasado"</formula>
    </cfRule>
    <cfRule type="cellIs" dxfId="99" priority="191" operator="equal">
      <formula>"Fechado"</formula>
    </cfRule>
    <cfRule type="cellIs" dxfId="98" priority="192" stopIfTrue="1" operator="equal">
      <formula>"Calibrado"</formula>
    </cfRule>
    <cfRule type="cellIs" dxfId="97" priority="193" stopIfTrue="1" operator="equal">
      <formula>"Permanente"</formula>
    </cfRule>
    <cfRule type="cellIs" dxfId="96" priority="195" stopIfTrue="1" operator="equal">
      <formula>"Calibrado"</formula>
    </cfRule>
    <cfRule type="cellIs" dxfId="95" priority="202" stopIfTrue="1" operator="equal">
      <formula>"Aguardando Calibração"</formula>
    </cfRule>
    <cfRule type="cellIs" dxfId="94" priority="197" operator="equal">
      <formula>"Fechado"</formula>
    </cfRule>
    <cfRule type="cellIs" dxfId="93" priority="200" stopIfTrue="1" operator="equal">
      <formula>"Atrasado"</formula>
    </cfRule>
    <cfRule type="cellIs" dxfId="92" priority="199" stopIfTrue="1" operator="equal">
      <formula>"Permanente"</formula>
    </cfRule>
    <cfRule type="cellIs" dxfId="91" priority="198" stopIfTrue="1" operator="equal">
      <formula>"Calibrado"</formula>
    </cfRule>
    <cfRule type="cellIs" dxfId="90" priority="196" stopIfTrue="1" operator="equal">
      <formula>"Aguardando Calibração"</formula>
    </cfRule>
    <cfRule type="cellIs" dxfId="89" priority="194" stopIfTrue="1" operator="equal">
      <formula>"Atrasado"</formula>
    </cfRule>
  </conditionalFormatting>
  <conditionalFormatting sqref="L185">
    <cfRule type="cellIs" dxfId="88" priority="664" stopIfTrue="1" operator="equal">
      <formula>"Atrasado"</formula>
    </cfRule>
    <cfRule type="cellIs" dxfId="87" priority="665" operator="equal">
      <formula>"Fechado"</formula>
    </cfRule>
    <cfRule type="cellIs" dxfId="86" priority="666" stopIfTrue="1" operator="equal">
      <formula>"Calibrado"</formula>
    </cfRule>
    <cfRule type="cellIs" dxfId="85" priority="667" stopIfTrue="1" operator="equal">
      <formula>"Permanente"</formula>
    </cfRule>
    <cfRule type="cellIs" dxfId="84" priority="669" stopIfTrue="1" operator="equal">
      <formula>"Calibrado"</formula>
    </cfRule>
    <cfRule type="cellIs" dxfId="83" priority="670" stopIfTrue="1" operator="equal">
      <formula>"Aguardando Calibração"</formula>
    </cfRule>
  </conditionalFormatting>
  <conditionalFormatting sqref="L185:L186">
    <cfRule type="cellIs" dxfId="82" priority="668" stopIfTrue="1" operator="equal">
      <formula>"Atrasado"</formula>
    </cfRule>
  </conditionalFormatting>
  <conditionalFormatting sqref="L186">
    <cfRule type="cellIs" dxfId="81" priority="676" stopIfTrue="1" operator="equal">
      <formula>"Calibrado"</formula>
    </cfRule>
    <cfRule type="cellIs" dxfId="80" priority="677" stopIfTrue="1" operator="equal">
      <formula>"Permanente"</formula>
    </cfRule>
    <cfRule type="cellIs" dxfId="79" priority="680" stopIfTrue="1" operator="equal">
      <formula>"Aguardando Calibração"</formula>
    </cfRule>
    <cfRule type="cellIs" dxfId="78" priority="675" operator="equal">
      <formula>"Fechado"</formula>
    </cfRule>
  </conditionalFormatting>
  <conditionalFormatting sqref="L186:L187">
    <cfRule type="cellIs" dxfId="77" priority="678" stopIfTrue="1" operator="equal">
      <formula>"Atrasado"</formula>
    </cfRule>
    <cfRule type="cellIs" dxfId="76" priority="679" stopIfTrue="1" operator="equal">
      <formula>"Calibrado"</formula>
    </cfRule>
  </conditionalFormatting>
  <conditionalFormatting sqref="L187">
    <cfRule type="cellIs" dxfId="75" priority="690" stopIfTrue="1" operator="equal">
      <formula>"Aguardando Calibração"</formula>
    </cfRule>
    <cfRule type="cellIs" dxfId="74" priority="687" stopIfTrue="1" operator="equal">
      <formula>"Permanente"</formula>
    </cfRule>
  </conditionalFormatting>
  <conditionalFormatting sqref="L259:L280">
    <cfRule type="cellIs" dxfId="73" priority="272" stopIfTrue="1" operator="equal">
      <formula>"Atrasado"</formula>
    </cfRule>
    <cfRule type="cellIs" dxfId="72" priority="273" operator="equal">
      <formula>"Fechado"</formula>
    </cfRule>
  </conditionalFormatting>
  <conditionalFormatting sqref="L284">
    <cfRule type="cellIs" dxfId="71" priority="973" stopIfTrue="1" operator="equal">
      <formula>"Calibrado"</formula>
    </cfRule>
    <cfRule type="cellIs" dxfId="70" priority="974" stopIfTrue="1" operator="equal">
      <formula>"Permanente"</formula>
    </cfRule>
    <cfRule type="cellIs" dxfId="69" priority="977" stopIfTrue="1" operator="equal">
      <formula>"Aguardando Calibração"</formula>
    </cfRule>
  </conditionalFormatting>
  <conditionalFormatting sqref="L340:L342">
    <cfRule type="cellIs" dxfId="68" priority="5" stopIfTrue="1" operator="equal">
      <formula>"Calibrado"</formula>
    </cfRule>
    <cfRule type="cellIs" dxfId="67" priority="6" stopIfTrue="1" operator="equal">
      <formula>"Permanente"</formula>
    </cfRule>
    <cfRule type="cellIs" dxfId="66" priority="7" stopIfTrue="1" operator="equal">
      <formula>"Atrasado"</formula>
    </cfRule>
    <cfRule type="cellIs" dxfId="65" priority="8" stopIfTrue="1" operator="equal">
      <formula>"Calibrado"</formula>
    </cfRule>
    <cfRule type="cellIs" dxfId="64" priority="9" stopIfTrue="1" operator="equal">
      <formula>"Aguardando Calibração"</formula>
    </cfRule>
    <cfRule type="cellIs" dxfId="63" priority="4" operator="equal">
      <formula>"Fechado"</formula>
    </cfRule>
  </conditionalFormatting>
  <conditionalFormatting sqref="L373">
    <cfRule type="cellIs" dxfId="62" priority="964" stopIfTrue="1" operator="equal">
      <formula>"Permanente"</formula>
    </cfRule>
    <cfRule type="cellIs" dxfId="61" priority="963" stopIfTrue="1" operator="equal">
      <formula>"Calibrado"</formula>
    </cfRule>
    <cfRule type="cellIs" dxfId="60" priority="967" stopIfTrue="1" operator="equal">
      <formula>"Aguardando Calibração"</formula>
    </cfRule>
  </conditionalFormatting>
  <conditionalFormatting sqref="L386">
    <cfRule type="cellIs" dxfId="59" priority="957" stopIfTrue="1" operator="equal">
      <formula>"Aguardando Calibração"</formula>
    </cfRule>
    <cfRule type="cellIs" dxfId="58" priority="954" stopIfTrue="1" operator="equal">
      <formula>"Permanente"</formula>
    </cfRule>
    <cfRule type="cellIs" dxfId="57" priority="953" stopIfTrue="1" operator="equal">
      <formula>"Calibrado"</formula>
    </cfRule>
  </conditionalFormatting>
  <conditionalFormatting sqref="L476:L477">
    <cfRule type="cellIs" dxfId="56" priority="120" stopIfTrue="1" operator="equal">
      <formula>"Atrasado"</formula>
    </cfRule>
    <cfRule type="cellIs" dxfId="55" priority="121" stopIfTrue="1" operator="equal">
      <formula>"Calibrado"</formula>
    </cfRule>
    <cfRule type="cellIs" dxfId="54" priority="117" operator="equal">
      <formula>"Fechado"</formula>
    </cfRule>
    <cfRule type="cellIs" dxfId="53" priority="118" stopIfTrue="1" operator="equal">
      <formula>"Calibrado"</formula>
    </cfRule>
    <cfRule type="cellIs" dxfId="52" priority="119" stopIfTrue="1" operator="equal">
      <formula>"Permanente"</formula>
    </cfRule>
    <cfRule type="cellIs" dxfId="51" priority="122" stopIfTrue="1" operator="equal">
      <formula>"Aguardando Calibração"</formula>
    </cfRule>
  </conditionalFormatting>
  <conditionalFormatting sqref="L485">
    <cfRule type="cellIs" dxfId="50" priority="61" stopIfTrue="1" operator="equal">
      <formula>"Calibrado"</formula>
    </cfRule>
  </conditionalFormatting>
  <conditionalFormatting sqref="L488">
    <cfRule type="cellIs" dxfId="49" priority="113" stopIfTrue="1" operator="equal">
      <formula>"Calibrado"</formula>
    </cfRule>
    <cfRule type="cellIs" dxfId="48" priority="114" stopIfTrue="1" operator="equal">
      <formula>"Permanente"</formula>
    </cfRule>
    <cfRule type="cellIs" dxfId="47" priority="115" stopIfTrue="1" operator="equal">
      <formula>"Calibrado"</formula>
    </cfRule>
    <cfRule type="cellIs" dxfId="46" priority="116" stopIfTrue="1" operator="equal">
      <formula>"Aguardando Calibração"</formula>
    </cfRule>
  </conditionalFormatting>
  <conditionalFormatting sqref="L491">
    <cfRule type="cellIs" dxfId="45" priority="112" stopIfTrue="1" operator="equal">
      <formula>"Aguardando Calibração"</formula>
    </cfRule>
    <cfRule type="cellIs" dxfId="44" priority="110" stopIfTrue="1" operator="equal">
      <formula>"Permanente"</formula>
    </cfRule>
    <cfRule type="cellIs" dxfId="43" priority="109" stopIfTrue="1" operator="equal">
      <formula>"Calibrado"</formula>
    </cfRule>
  </conditionalFormatting>
  <conditionalFormatting sqref="L491:L498">
    <cfRule type="cellIs" dxfId="42" priority="111" stopIfTrue="1" operator="equal">
      <formula>"Calibrado"</formula>
    </cfRule>
  </conditionalFormatting>
  <conditionalFormatting sqref="L495">
    <cfRule type="cellIs" dxfId="41" priority="105" stopIfTrue="1" operator="equal">
      <formula>"Calibrado"</formula>
    </cfRule>
    <cfRule type="cellIs" dxfId="40" priority="107" stopIfTrue="1" operator="equal">
      <formula>"Calibrado"</formula>
    </cfRule>
    <cfRule type="cellIs" dxfId="39" priority="108" stopIfTrue="1" operator="equal">
      <formula>"Aguardando Calibração"</formula>
    </cfRule>
    <cfRule type="cellIs" dxfId="38" priority="106" stopIfTrue="1" operator="equal">
      <formula>"Permanente"</formula>
    </cfRule>
    <cfRule type="cellIs" dxfId="37" priority="104" operator="equal">
      <formula>"Fechado"</formula>
    </cfRule>
  </conditionalFormatting>
  <conditionalFormatting sqref="L497">
    <cfRule type="cellIs" dxfId="36" priority="103" stopIfTrue="1" operator="equal">
      <formula>"Aguardando Calibração"</formula>
    </cfRule>
    <cfRule type="cellIs" dxfId="35" priority="102" stopIfTrue="1" operator="equal">
      <formula>"Calibrado"</formula>
    </cfRule>
    <cfRule type="cellIs" dxfId="34" priority="101" stopIfTrue="1" operator="equal">
      <formula>"Permanente"</formula>
    </cfRule>
    <cfRule type="cellIs" dxfId="33" priority="100" stopIfTrue="1" operator="equal">
      <formula>"Calibrado"</formula>
    </cfRule>
    <cfRule type="cellIs" dxfId="32" priority="99" operator="equal">
      <formula>"Fechado"</formula>
    </cfRule>
  </conditionalFormatting>
  <conditionalFormatting sqref="L510">
    <cfRule type="cellIs" dxfId="31" priority="943" stopIfTrue="1" operator="equal">
      <formula>"Calibrado"</formula>
    </cfRule>
    <cfRule type="cellIs" dxfId="30" priority="944" stopIfTrue="1" operator="equal">
      <formula>"Permanente"</formula>
    </cfRule>
    <cfRule type="cellIs" dxfId="29" priority="946" stopIfTrue="1" operator="equal">
      <formula>"Calibrado"</formula>
    </cfRule>
    <cfRule type="cellIs" dxfId="28" priority="947" stopIfTrue="1" operator="equal">
      <formula>"Aguardando Calibração"</formula>
    </cfRule>
  </conditionalFormatting>
  <conditionalFormatting sqref="L513">
    <cfRule type="cellIs" dxfId="27" priority="934" stopIfTrue="1" operator="equal">
      <formula>"Permanente"</formula>
    </cfRule>
    <cfRule type="cellIs" dxfId="26" priority="933" stopIfTrue="1" operator="equal">
      <formula>"Calibrado"</formula>
    </cfRule>
    <cfRule type="cellIs" dxfId="25" priority="937" stopIfTrue="1" operator="equal">
      <formula>"Aguardando Calibração"</formula>
    </cfRule>
  </conditionalFormatting>
  <conditionalFormatting sqref="L513:L518">
    <cfRule type="cellIs" dxfId="24" priority="936" stopIfTrue="1" operator="equal">
      <formula>"Calibrado"</formula>
    </cfRule>
  </conditionalFormatting>
  <conditionalFormatting sqref="L517">
    <cfRule type="cellIs" dxfId="23" priority="912" operator="equal">
      <formula>"Fechado"</formula>
    </cfRule>
    <cfRule type="cellIs" dxfId="22" priority="913" stopIfTrue="1" operator="equal">
      <formula>"Calibrado"</formula>
    </cfRule>
    <cfRule type="cellIs" dxfId="21" priority="916" stopIfTrue="1" operator="equal">
      <formula>"Calibrado"</formula>
    </cfRule>
    <cfRule type="cellIs" dxfId="20" priority="917" stopIfTrue="1" operator="equal">
      <formula>"Aguardando Calibração"</formula>
    </cfRule>
    <cfRule type="cellIs" dxfId="19" priority="914" stopIfTrue="1" operator="equal">
      <formula>"Permanente"</formula>
    </cfRule>
  </conditionalFormatting>
  <conditionalFormatting sqref="L519">
    <cfRule type="cellIs" dxfId="18" priority="98" stopIfTrue="1" operator="equal">
      <formula>"Calibrado"</formula>
    </cfRule>
  </conditionalFormatting>
  <conditionalFormatting sqref="L522">
    <cfRule type="cellIs" dxfId="17" priority="265" stopIfTrue="1" operator="equal">
      <formula>"Permanente"</formula>
    </cfRule>
    <cfRule type="cellIs" dxfId="16" priority="264" stopIfTrue="1" operator="equal">
      <formula>"Calibrado"</formula>
    </cfRule>
    <cfRule type="cellIs" dxfId="15" priority="266" stopIfTrue="1" operator="equal">
      <formula>"Calibrado"</formula>
    </cfRule>
    <cfRule type="cellIs" dxfId="14" priority="267" stopIfTrue="1" operator="equal">
      <formula>"Aguardando Calibração"</formula>
    </cfRule>
    <cfRule type="cellIs" dxfId="13" priority="263" operator="equal">
      <formula>"Fechado"</formula>
    </cfRule>
    <cfRule type="cellIs" dxfId="12" priority="262" stopIfTrue="1" operator="equal">
      <formula>"Atrasado"</formula>
    </cfRule>
  </conditionalFormatting>
  <conditionalFormatting sqref="L543">
    <cfRule type="cellIs" dxfId="11" priority="238" stopIfTrue="1" operator="equal">
      <formula>"Atrasado"</formula>
    </cfRule>
    <cfRule type="cellIs" dxfId="10" priority="240" stopIfTrue="1" operator="equal">
      <formula>"Calibrado"</formula>
    </cfRule>
    <cfRule type="cellIs" dxfId="9" priority="243" stopIfTrue="1" operator="equal">
      <formula>"Aguardando Calibração"</formula>
    </cfRule>
    <cfRule type="cellIs" dxfId="8" priority="242" stopIfTrue="1" operator="equal">
      <formula>"Calibrado"</formula>
    </cfRule>
    <cfRule type="cellIs" dxfId="7" priority="241" stopIfTrue="1" operator="equal">
      <formula>"Permanente"</formula>
    </cfRule>
    <cfRule type="cellIs" dxfId="6" priority="239" operator="equal">
      <formula>"Fechado"</formula>
    </cfRule>
  </conditionalFormatting>
  <conditionalFormatting sqref="L559:L578">
    <cfRule type="cellIs" dxfId="5" priority="29" stopIfTrue="1" operator="equal">
      <formula>"Calibrado"</formula>
    </cfRule>
    <cfRule type="cellIs" dxfId="4" priority="28" stopIfTrue="1" operator="equal">
      <formula>"Permanente"</formula>
    </cfRule>
    <cfRule type="cellIs" dxfId="3" priority="30" stopIfTrue="1" operator="equal">
      <formula>"Aguardando Calibração"</formula>
    </cfRule>
  </conditionalFormatting>
  <conditionalFormatting sqref="L583:L584">
    <cfRule type="cellIs" dxfId="2" priority="27" stopIfTrue="1" operator="equal">
      <formula>"Aguardando Calibração"</formula>
    </cfRule>
    <cfRule type="cellIs" dxfId="1" priority="26" stopIfTrue="1" operator="equal">
      <formula>"Calibrado"</formula>
    </cfRule>
    <cfRule type="cellIs" dxfId="0" priority="25" stopIfTrue="1" operator="equal">
      <formula>"Permanente"</formula>
    </cfRule>
  </conditionalFormatting>
  <hyperlinks>
    <hyperlink ref="I53" r:id="rId1"/>
    <hyperlink ref="I54" r:id="rId2"/>
    <hyperlink ref="I63" r:id="rId3"/>
    <hyperlink ref="I122" r:id="rId4"/>
    <hyperlink ref="I123" r:id="rId5"/>
    <hyperlink ref="I89" r:id="rId6"/>
    <hyperlink ref="I475" r:id="rId7"/>
    <hyperlink ref="I377" r:id="rId8"/>
    <hyperlink ref="I380" r:id="rId9"/>
    <hyperlink ref="I383" r:id="rId10"/>
    <hyperlink ref="I384" r:id="rId11"/>
    <hyperlink ref="I163" r:id="rId12"/>
    <hyperlink ref="I172" r:id="rId13"/>
    <hyperlink ref="I205" r:id="rId14"/>
    <hyperlink ref="I210" r:id="rId15"/>
    <hyperlink ref="I130" r:id="rId16"/>
    <hyperlink ref="I188" r:id="rId17"/>
    <hyperlink ref="I189" r:id="rId18"/>
    <hyperlink ref="I190" r:id="rId19"/>
    <hyperlink ref="I191" r:id="rId20"/>
    <hyperlink ref="I192" r:id="rId21"/>
    <hyperlink ref="I196" r:id="rId22"/>
    <hyperlink ref="I197" r:id="rId23"/>
    <hyperlink ref="I435" r:id="rId24"/>
    <hyperlink ref="I438" r:id="rId25"/>
    <hyperlink ref="I439" r:id="rId26"/>
    <hyperlink ref="I440" r:id="rId27"/>
    <hyperlink ref="I441" r:id="rId28"/>
    <hyperlink ref="I442" r:id="rId29"/>
    <hyperlink ref="I454" r:id="rId30"/>
    <hyperlink ref="I455" r:id="rId31"/>
    <hyperlink ref="I456" r:id="rId32"/>
    <hyperlink ref="I457" r:id="rId33"/>
    <hyperlink ref="I458" r:id="rId34"/>
    <hyperlink ref="I459" r:id="rId35"/>
    <hyperlink ref="I460" r:id="rId36"/>
    <hyperlink ref="I465" r:id="rId37"/>
    <hyperlink ref="I466" r:id="rId38"/>
    <hyperlink ref="I467" r:id="rId39"/>
    <hyperlink ref="I72" r:id="rId40"/>
    <hyperlink ref="I82" r:id="rId41"/>
    <hyperlink ref="I37" r:id="rId42"/>
    <hyperlink ref="I46" r:id="rId43"/>
    <hyperlink ref="I51" r:id="rId44"/>
    <hyperlink ref="I52" r:id="rId45"/>
    <hyperlink ref="I5" r:id="rId46"/>
    <hyperlink ref="I7" r:id="rId47"/>
    <hyperlink ref="I8" r:id="rId48"/>
    <hyperlink ref="I15" r:id="rId49"/>
    <hyperlink ref="I24" r:id="rId50"/>
    <hyperlink ref="I234" r:id="rId51"/>
    <hyperlink ref="I349" r:id="rId52"/>
    <hyperlink ref="I355" r:id="rId53"/>
    <hyperlink ref="I356" r:id="rId54"/>
    <hyperlink ref="I358" r:id="rId55"/>
    <hyperlink ref="I359" r:id="rId56"/>
    <hyperlink ref="I360" r:id="rId57"/>
    <hyperlink ref="I362" r:id="rId58"/>
    <hyperlink ref="I330" r:id="rId59"/>
    <hyperlink ref="I378" r:id="rId60"/>
    <hyperlink ref="I161" r:id="rId61"/>
    <hyperlink ref="I229" r:id="rId62"/>
    <hyperlink ref="I248" r:id="rId63"/>
    <hyperlink ref="I60" r:id="rId64"/>
    <hyperlink ref="I62" r:id="rId65"/>
    <hyperlink ref="I69" r:id="rId66"/>
    <hyperlink ref="I70" r:id="rId67"/>
    <hyperlink ref="I71" r:id="rId68"/>
    <hyperlink ref="I565" r:id="rId69"/>
    <hyperlink ref="I566" r:id="rId70"/>
    <hyperlink ref="I436" r:id="rId71"/>
    <hyperlink ref="I443" r:id="rId72"/>
    <hyperlink ref="I444" r:id="rId73"/>
    <hyperlink ref="I447" r:id="rId74"/>
    <hyperlink ref="I448" r:id="rId75"/>
    <hyperlink ref="I451" r:id="rId76"/>
    <hyperlink ref="I452" r:id="rId77"/>
    <hyperlink ref="I462" r:id="rId78"/>
    <hyperlink ref="I463" r:id="rId79"/>
    <hyperlink ref="I532" r:id="rId80"/>
    <hyperlink ref="I534" r:id="rId81"/>
    <hyperlink ref="I187" r:id="rId82"/>
    <hyperlink ref="I198" r:id="rId83"/>
    <hyperlink ref="I369" r:id="rId84"/>
    <hyperlink ref="I581" r:id="rId85"/>
    <hyperlink ref="I38" r:id="rId86"/>
    <hyperlink ref="I41" r:id="rId87"/>
    <hyperlink ref="I45" r:id="rId88"/>
    <hyperlink ref="I47" r:id="rId89"/>
    <hyperlink ref="I237" r:id="rId90"/>
    <hyperlink ref="I238" r:id="rId91"/>
    <hyperlink ref="I239" r:id="rId92"/>
    <hyperlink ref="I240" r:id="rId93"/>
    <hyperlink ref="I270" r:id="rId94"/>
    <hyperlink ref="I347" r:id="rId95"/>
    <hyperlink ref="I363" r:id="rId96"/>
    <hyperlink ref="I364" r:id="rId97"/>
    <hyperlink ref="I282" r:id="rId98"/>
    <hyperlink ref="I274" r:id="rId99"/>
    <hyperlink ref="I376" r:id="rId100"/>
    <hyperlink ref="I382" r:id="rId101"/>
    <hyperlink ref="I162" r:id="rId102"/>
    <hyperlink ref="I243" r:id="rId103"/>
    <hyperlink ref="I339" r:id="rId104"/>
    <hyperlink ref="I103" r:id="rId105"/>
    <hyperlink ref="I106" r:id="rId106"/>
    <hyperlink ref="I112" r:id="rId107"/>
    <hyperlink ref="I113" r:id="rId108"/>
    <hyperlink ref="I114" r:id="rId109"/>
    <hyperlink ref="I116" r:id="rId110"/>
    <hyperlink ref="I117" r:id="rId111"/>
    <hyperlink ref="I200" r:id="rId112"/>
    <hyperlink ref="I392" r:id="rId113"/>
    <hyperlink ref="I394" r:id="rId114"/>
    <hyperlink ref="I427" r:id="rId115"/>
    <hyperlink ref="I4" r:id="rId116"/>
    <hyperlink ref="I9" r:id="rId117"/>
    <hyperlink ref="I10" r:id="rId118"/>
    <hyperlink ref="I11" r:id="rId119"/>
    <hyperlink ref="I13" r:id="rId120"/>
    <hyperlink ref="I17" r:id="rId121"/>
    <hyperlink ref="I23" r:id="rId122"/>
    <hyperlink ref="I48" r:id="rId123"/>
    <hyperlink ref="I73" r:id="rId124"/>
    <hyperlink ref="I83" r:id="rId125"/>
    <hyperlink ref="I85" r:id="rId126"/>
    <hyperlink ref="I136" r:id="rId127"/>
    <hyperlink ref="I257" r:id="rId128"/>
    <hyperlink ref="I271" r:id="rId129"/>
    <hyperlink ref="I272" r:id="rId130"/>
    <hyperlink ref="I528" r:id="rId131"/>
    <hyperlink ref="I561" r:id="rId132"/>
    <hyperlink ref="I564" r:id="rId133"/>
    <hyperlink ref="I569" r:id="rId134"/>
    <hyperlink ref="I570" r:id="rId135"/>
    <hyperlink ref="I571" r:id="rId136"/>
    <hyperlink ref="I572" r:id="rId137"/>
    <hyperlink ref="I573" r:id="rId138"/>
    <hyperlink ref="I577" r:id="rId139"/>
    <hyperlink ref="I61" r:id="rId140"/>
    <hyperlink ref="I67" r:id="rId141"/>
    <hyperlink ref="I578" r:id="rId142"/>
    <hyperlink ref="I241" r:id="rId143"/>
    <hyperlink ref="I258" r:id="rId144"/>
    <hyperlink ref="I284" r:id="rId145"/>
    <hyperlink ref="I324" r:id="rId146"/>
    <hyperlink ref="I325" r:id="rId147"/>
    <hyperlink ref="I326" r:id="rId148"/>
    <hyperlink ref="I327" r:id="rId149"/>
    <hyperlink ref="I328" r:id="rId150"/>
    <hyperlink ref="I329" r:id="rId151"/>
    <hyperlink ref="I280" r:id="rId152"/>
    <hyperlink ref="I464" r:id="rId153"/>
    <hyperlink ref="I619" r:id="rId154"/>
    <hyperlink ref="I221" r:id="rId155"/>
    <hyperlink ref="I294" r:id="rId156"/>
    <hyperlink ref="I295" r:id="rId157"/>
    <hyperlink ref="I296" r:id="rId158"/>
    <hyperlink ref="I297" r:id="rId159"/>
    <hyperlink ref="I298" r:id="rId160"/>
    <hyperlink ref="I313" r:id="rId161"/>
    <hyperlink ref="I337" r:id="rId162"/>
    <hyperlink ref="I476" r:id="rId163"/>
    <hyperlink ref="I477" r:id="rId164"/>
    <hyperlink ref="I626" r:id="rId165"/>
    <hyperlink ref="I627" r:id="rId166"/>
    <hyperlink ref="I632" r:id="rId167"/>
    <hyperlink ref="I633" r:id="rId168"/>
    <hyperlink ref="I549" r:id="rId169"/>
    <hyperlink ref="I550" r:id="rId170"/>
    <hyperlink ref="I551" r:id="rId171"/>
    <hyperlink ref="I552" r:id="rId172"/>
    <hyperlink ref="I553" r:id="rId173"/>
    <hyperlink ref="I554" r:id="rId174"/>
    <hyperlink ref="I368" r:id="rId175"/>
    <hyperlink ref="I399" r:id="rId176"/>
    <hyperlink ref="I400" r:id="rId177"/>
    <hyperlink ref="I401" r:id="rId178"/>
    <hyperlink ref="I420" r:id="rId179"/>
    <hyperlink ref="I421" r:id="rId180"/>
    <hyperlink ref="I422" r:id="rId181"/>
    <hyperlink ref="I423" r:id="rId182"/>
    <hyperlink ref="I424" r:id="rId183"/>
    <hyperlink ref="I426" r:id="rId184"/>
    <hyperlink ref="I430" r:id="rId185"/>
    <hyperlink ref="I432" r:id="rId186"/>
    <hyperlink ref="I582" r:id="rId187"/>
    <hyperlink ref="I592" r:id="rId188"/>
    <hyperlink ref="I593" r:id="rId189"/>
    <hyperlink ref="I594" r:id="rId190"/>
    <hyperlink ref="I595" r:id="rId191"/>
    <hyperlink ref="I596" r:id="rId192"/>
    <hyperlink ref="I598" r:id="rId193"/>
    <hyperlink ref="I583" r:id="rId194"/>
    <hyperlink ref="I584" r:id="rId195"/>
    <hyperlink ref="I559" r:id="rId196"/>
    <hyperlink ref="I560" r:id="rId197"/>
    <hyperlink ref="I574" r:id="rId198"/>
    <hyperlink ref="I30" r:id="rId199"/>
    <hyperlink ref="I27" r:id="rId200"/>
    <hyperlink ref="I283" r:id="rId201"/>
    <hyperlink ref="I285" r:id="rId202"/>
    <hyperlink ref="I286" r:id="rId203"/>
    <hyperlink ref="I102" r:id="rId204"/>
    <hyperlink ref="I590" r:id="rId205"/>
    <hyperlink ref="I599" r:id="rId206"/>
    <hyperlink ref="I75" r:id="rId207"/>
    <hyperlink ref="I76" r:id="rId208"/>
    <hyperlink ref="I86" r:id="rId209"/>
    <hyperlink ref="I90" r:id="rId210"/>
    <hyperlink ref="I94" r:id="rId211"/>
    <hyperlink ref="I95" r:id="rId212"/>
    <hyperlink ref="I96" r:id="rId213"/>
    <hyperlink ref="I97" r:id="rId214"/>
    <hyperlink ref="I132" r:id="rId215"/>
    <hyperlink ref="I137" r:id="rId216"/>
    <hyperlink ref="I170" r:id="rId217"/>
    <hyperlink ref="I171" r:id="rId218"/>
    <hyperlink ref="I246" r:id="rId219"/>
    <hyperlink ref="I259" r:id="rId220"/>
    <hyperlink ref="I273" r:id="rId221"/>
    <hyperlink ref="I547" r:id="rId222"/>
    <hyperlink ref="I91" r:id="rId223"/>
    <hyperlink ref="I92" r:id="rId224"/>
    <hyperlink ref="I108" r:id="rId225"/>
    <hyperlink ref="I135" r:id="rId226"/>
    <hyperlink ref="I182" r:id="rId227"/>
    <hyperlink ref="I201" r:id="rId228"/>
    <hyperlink ref="I244" r:id="rId229"/>
    <hyperlink ref="I245" r:id="rId230"/>
    <hyperlink ref="I299" r:id="rId231"/>
    <hyperlink ref="I300" r:id="rId232"/>
    <hyperlink ref="I302" r:id="rId233"/>
    <hyperlink ref="I525" r:id="rId234"/>
    <hyperlink ref="I535" r:id="rId235"/>
    <hyperlink ref="I555" r:id="rId236"/>
    <hyperlink ref="I556" r:id="rId237"/>
    <hyperlink ref="I557" r:id="rId238"/>
    <hyperlink ref="I35" r:id="rId239"/>
    <hyperlink ref="I80" r:id="rId240"/>
    <hyperlink ref="I87" r:id="rId241"/>
    <hyperlink ref="I99" r:id="rId242"/>
    <hyperlink ref="I567" r:id="rId243"/>
    <hyperlink ref="I568" r:id="rId244"/>
    <hyperlink ref="I620" r:id="rId245"/>
    <hyperlink ref="I621" r:id="rId246"/>
    <hyperlink ref="I579" r:id="rId247"/>
    <hyperlink ref="I580" r:id="rId248"/>
    <hyperlink ref="I139" r:id="rId249"/>
    <hyperlink ref="I165" r:id="rId250"/>
    <hyperlink ref="I115" r:id="rId251"/>
    <hyperlink ref="I49" r:id="rId252"/>
    <hyperlink ref="I50" r:id="rId253"/>
    <hyperlink ref="I357" r:id="rId254"/>
    <hyperlink ref="I167" r:id="rId255"/>
    <hyperlink ref="I461" r:id="rId256"/>
    <hyperlink ref="I523" r:id="rId257"/>
    <hyperlink ref="I469" r:id="rId258"/>
    <hyperlink ref="I470" r:id="rId259"/>
    <hyperlink ref="I562" r:id="rId260"/>
    <hyperlink ref="I563" r:id="rId261"/>
    <hyperlink ref="I166" r:id="rId262"/>
    <hyperlink ref="I175" r:id="rId263"/>
    <hyperlink ref="I276" r:id="rId264"/>
    <hyperlink ref="I277" r:id="rId265"/>
    <hyperlink ref="I101" r:id="rId266"/>
    <hyperlink ref="I262" r:id="rId267"/>
    <hyperlink ref="I385" r:id="rId268"/>
    <hyperlink ref="I499" r:id="rId269"/>
    <hyperlink ref="I500" r:id="rId270"/>
    <hyperlink ref="I505" r:id="rId271"/>
    <hyperlink ref="I510" r:id="rId272"/>
    <hyperlink ref="I512" r:id="rId273"/>
    <hyperlink ref="I479" r:id="rId274"/>
    <hyperlink ref="I480" r:id="rId275"/>
    <hyperlink ref="I481" r:id="rId276"/>
    <hyperlink ref="I484" r:id="rId277"/>
    <hyperlink ref="I488" r:id="rId278"/>
    <hyperlink ref="I493" r:id="rId279"/>
    <hyperlink ref="I494" r:id="rId280"/>
    <hyperlink ref="I495" r:id="rId281"/>
    <hyperlink ref="I124" r:id="rId282"/>
    <hyperlink ref="I138" r:id="rId283"/>
    <hyperlink ref="I155" r:id="rId284"/>
    <hyperlink ref="I179" r:id="rId285"/>
    <hyperlink ref="I199" r:id="rId286"/>
    <hyperlink ref="I204" r:id="rId287"/>
    <hyperlink ref="I207" r:id="rId288"/>
    <hyperlink ref="I212" r:id="rId289"/>
    <hyperlink ref="I224" r:id="rId290"/>
    <hyperlink ref="I230" r:id="rId291"/>
    <hyperlink ref="I536" r:id="rId292"/>
    <hyperlink ref="I537" r:id="rId293"/>
    <hyperlink ref="I104" r:id="rId294"/>
    <hyperlink ref="I149" r:id="rId295"/>
    <hyperlink ref="I174" r:id="rId296"/>
    <hyperlink ref="I176" r:id="rId297"/>
    <hyperlink ref="I177" r:id="rId298"/>
    <hyperlink ref="I178" r:id="rId299"/>
    <hyperlink ref="I180" r:id="rId300"/>
    <hyperlink ref="I185" r:id="rId301"/>
    <hyperlink ref="I186" r:id="rId302"/>
    <hyperlink ref="I194" r:id="rId303"/>
    <hyperlink ref="I216" r:id="rId304"/>
    <hyperlink ref="I218" r:id="rId305"/>
    <hyperlink ref="I219" r:id="rId306"/>
    <hyperlink ref="I397" r:id="rId307"/>
    <hyperlink ref="I591" r:id="rId308"/>
    <hyperlink ref="I600" r:id="rId309"/>
    <hyperlink ref="I278" r:id="rId310"/>
    <hyperlink ref="I279" r:id="rId311"/>
    <hyperlink ref="I16" r:id="rId312"/>
    <hyperlink ref="I40" r:id="rId313"/>
    <hyperlink ref="I74" r:id="rId314"/>
    <hyperlink ref="I181" r:id="rId315"/>
    <hyperlink ref="I217" r:id="rId316"/>
    <hyperlink ref="I242" r:id="rId317"/>
    <hyperlink ref="I260" r:id="rId318"/>
    <hyperlink ref="I261" r:id="rId319"/>
    <hyperlink ref="I516" r:id="rId320"/>
    <hyperlink ref="I517" r:id="rId321"/>
    <hyperlink ref="I485" r:id="rId322"/>
    <hyperlink ref="I486" r:id="rId323"/>
    <hyperlink ref="I492" r:id="rId324"/>
    <hyperlink ref="I66" r:id="rId325"/>
    <hyperlink ref="I471" r:id="rId326"/>
    <hyperlink ref="I472" r:id="rId327"/>
    <hyperlink ref="I105" r:id="rId328"/>
    <hyperlink ref="I142" r:id="rId329"/>
    <hyperlink ref="I143" r:id="rId330"/>
    <hyperlink ref="I220" r:id="rId331"/>
    <hyperlink ref="I520" r:id="rId332"/>
    <hyperlink ref="I140" r:id="rId333"/>
    <hyperlink ref="I141" r:id="rId334"/>
    <hyperlink ref="I144" r:id="rId335"/>
    <hyperlink ref="I147" r:id="rId336"/>
    <hyperlink ref="I575" r:id="rId337"/>
    <hyperlink ref="I576" r:id="rId338"/>
    <hyperlink ref="I148" r:id="rId339"/>
    <hyperlink ref="I202" r:id="rId340"/>
    <hyperlink ref="I208" r:id="rId341"/>
    <hyperlink ref="I211" r:id="rId342"/>
    <hyperlink ref="I213" r:id="rId343"/>
    <hyperlink ref="I214" r:id="rId344"/>
    <hyperlink ref="I487" r:id="rId345"/>
    <hyperlink ref="I215" r:id="rId346"/>
    <hyperlink ref="I222" r:id="rId347"/>
    <hyperlink ref="I231" r:id="rId348"/>
    <hyperlink ref="I304" r:id="rId349"/>
    <hyperlink ref="I613" r:id="rId350"/>
    <hyperlink ref="I618" r:id="rId351"/>
    <hyperlink ref="I597" r:id="rId352"/>
    <hyperlink ref="I601" r:id="rId353"/>
    <hyperlink ref="I602" r:id="rId354"/>
    <hyperlink ref="I604" r:id="rId355"/>
    <hyperlink ref="I605" r:id="rId356"/>
    <hyperlink ref="I120" r:id="rId357"/>
    <hyperlink ref="I121" r:id="rId358"/>
    <hyperlink ref="I275" r:id="rId359"/>
    <hyperlink ref="I77" r:id="rId360"/>
    <hyperlink ref="I78" r:id="rId361"/>
    <hyperlink ref="I84" r:id="rId362"/>
    <hyperlink ref="I622" r:id="rId363"/>
    <hyperlink ref="I623" r:id="rId364"/>
    <hyperlink ref="I482" r:id="rId365"/>
    <hyperlink ref="I483" r:id="rId366"/>
    <hyperlink ref="I489" r:id="rId367"/>
    <hyperlink ref="I490" r:id="rId368"/>
    <hyperlink ref="I496" r:id="rId369"/>
    <hyperlink ref="I497" r:id="rId370"/>
    <hyperlink ref="I498" r:id="rId371"/>
    <hyperlink ref="I375" r:id="rId372"/>
    <hyperlink ref="I501" r:id="rId373"/>
    <hyperlink ref="I502" r:id="rId374"/>
    <hyperlink ref="I503" r:id="rId375"/>
    <hyperlink ref="I506" r:id="rId376"/>
    <hyperlink ref="I508" r:id="rId377"/>
    <hyperlink ref="I509" r:id="rId378"/>
    <hyperlink ref="I511" r:id="rId379"/>
    <hyperlink ref="I515" r:id="rId380"/>
    <hyperlink ref="I33" r:id="rId381"/>
    <hyperlink ref="I203" r:id="rId382"/>
    <hyperlink ref="I209" r:id="rId383"/>
    <hyperlink ref="I223" r:id="rId384"/>
    <hyperlink ref="I225" r:id="rId385"/>
    <hyperlink ref="I305" r:id="rId386"/>
    <hyperlink ref="I303" r:id="rId387"/>
    <hyperlink ref="I110" r:id="rId388"/>
    <hyperlink ref="I111" r:id="rId389"/>
    <hyperlink ref="I145" r:id="rId390"/>
    <hyperlink ref="I146" r:id="rId391"/>
    <hyperlink ref="I183" r:id="rId392"/>
    <hyperlink ref="I228" r:id="rId393"/>
    <hyperlink ref="I402" r:id="rId394"/>
    <hyperlink ref="I417" r:id="rId395"/>
    <hyperlink ref="I425" r:id="rId396"/>
    <hyperlink ref="I428" r:id="rId397"/>
    <hyperlink ref="I429" r:id="rId398"/>
    <hyperlink ref="I21" r:id="rId399"/>
    <hyperlink ref="I125" r:id="rId400"/>
    <hyperlink ref="I247" r:id="rId401"/>
    <hyperlink ref="I251" r:id="rId402"/>
    <hyperlink ref="I268" r:id="rId403"/>
    <hyperlink ref="I269" r:id="rId404"/>
    <hyperlink ref="I641" r:id="rId405"/>
    <hyperlink ref="I642" r:id="rId406"/>
    <hyperlink ref="I607" r:id="rId407"/>
    <hyperlink ref="I608" r:id="rId408"/>
    <hyperlink ref="I609" r:id="rId409"/>
    <hyperlink ref="I610" r:id="rId410"/>
    <hyperlink ref="I28" r:id="rId411"/>
    <hyperlink ref="I29" r:id="rId412"/>
    <hyperlink ref="I233" r:id="rId413"/>
    <hyperlink ref="I370" r:id="rId414"/>
    <hyperlink ref="I478" r:id="rId415"/>
    <hyperlink ref="I491" r:id="rId416"/>
    <hyperlink ref="I519" r:id="rId417"/>
    <hyperlink ref="I391" r:id="rId418"/>
    <hyperlink ref="I504" r:id="rId419"/>
    <hyperlink ref="I287" r:id="rId420"/>
    <hyperlink ref="I387" r:id="rId421"/>
    <hyperlink ref="I388" r:id="rId422"/>
    <hyperlink ref="I628" r:id="rId423"/>
    <hyperlink ref="I153" r:id="rId424"/>
    <hyperlink ref="I154" r:id="rId425"/>
    <hyperlink ref="I169" r:id="rId426"/>
    <hyperlink ref="I232" r:id="rId427"/>
    <hyperlink ref="I603" r:id="rId428"/>
    <hyperlink ref="I395" r:id="rId429"/>
    <hyperlink ref="I396" r:id="rId430"/>
    <hyperlink ref="I529" r:id="rId431"/>
    <hyperlink ref="I530" r:id="rId432"/>
    <hyperlink ref="I531" r:id="rId433"/>
    <hyperlink ref="I290" r:id="rId434"/>
    <hyperlink ref="I331" r:id="rId435"/>
    <hyperlink ref="I332" r:id="rId436"/>
    <hyperlink ref="I403" r:id="rId437"/>
    <hyperlink ref="I404" r:id="rId438"/>
    <hyperlink ref="I405" r:id="rId439"/>
    <hyperlink ref="I18" r:id="rId440"/>
    <hyperlink ref="I42" r:id="rId441"/>
    <hyperlink ref="I264" r:id="rId442"/>
    <hyperlink ref="I351" r:id="rId443"/>
    <hyperlink ref="I352" r:id="rId444"/>
    <hyperlink ref="I353" r:id="rId445"/>
    <hyperlink ref="I354" r:id="rId446"/>
    <hyperlink ref="I361" r:id="rId447"/>
    <hyperlink ref="I367" r:id="rId448"/>
    <hyperlink ref="I107" r:id="rId449"/>
    <hyperlink ref="I109" r:id="rId450"/>
    <hyperlink ref="I129" r:id="rId451"/>
    <hyperlink ref="I156" r:id="rId452"/>
    <hyperlink ref="I173" r:id="rId453"/>
    <hyperlink ref="I226" r:id="rId454"/>
    <hyperlink ref="I227" r:id="rId455"/>
    <hyperlink ref="I314" r:id="rId456"/>
    <hyperlink ref="I315" r:id="rId457"/>
    <hyperlink ref="I316" r:id="rId458"/>
    <hyperlink ref="I317" r:id="rId459"/>
    <hyperlink ref="I319" r:id="rId460"/>
    <hyperlink ref="I336" r:id="rId461"/>
    <hyperlink ref="I373" r:id="rId462"/>
    <hyperlink ref="I374" r:id="rId463"/>
    <hyperlink ref="I386" r:id="rId464"/>
    <hyperlink ref="I507" r:id="rId465"/>
    <hyperlink ref="I513" r:id="rId466"/>
    <hyperlink ref="I514" r:id="rId467"/>
    <hyperlink ref="I58" r:id="rId468"/>
    <hyperlink ref="I59" r:id="rId469"/>
    <hyperlink ref="I64" r:id="rId470"/>
    <hyperlink ref="I65" r:id="rId471"/>
    <hyperlink ref="I79" r:id="rId472"/>
    <hyperlink ref="I474" r:id="rId473"/>
    <hyperlink ref="I473" r:id="rId474"/>
    <hyperlink ref="I126" r:id="rId475"/>
    <hyperlink ref="I88" r:id="rId476"/>
    <hyperlink ref="I150" r:id="rId477"/>
    <hyperlink ref="I168" r:id="rId478"/>
    <hyperlink ref="I195" r:id="rId479"/>
    <hyperlink ref="I418" r:id="rId480"/>
    <hyperlink ref="I419" r:id="rId481"/>
    <hyperlink ref="I431" r:id="rId482"/>
    <hyperlink ref="I281" r:id="rId483"/>
    <hyperlink ref="I289" r:id="rId484"/>
    <hyperlink ref="I406" r:id="rId485"/>
    <hyperlink ref="I407" r:id="rId486"/>
    <hyperlink ref="I408" r:id="rId487"/>
    <hyperlink ref="I409" r:id="rId488"/>
    <hyperlink ref="I410" r:id="rId489"/>
    <hyperlink ref="I411" r:id="rId490"/>
    <hyperlink ref="I413" r:id="rId491"/>
    <hyperlink ref="I414" r:id="rId492"/>
    <hyperlink ref="I6" r:id="rId493"/>
    <hyperlink ref="I14" r:id="rId494"/>
    <hyperlink ref="I19" r:id="rId495"/>
    <hyperlink ref="I25" r:id="rId496"/>
    <hyperlink ref="I98" r:id="rId497"/>
    <hyperlink ref="I250" r:id="rId498"/>
    <hyperlink ref="I365" r:id="rId499"/>
    <hyperlink ref="I366" r:id="rId500"/>
    <hyperlink ref="I151" r:id="rId501"/>
    <hyperlink ref="I164" r:id="rId502"/>
    <hyperlink ref="I206" r:id="rId503"/>
    <hyperlink ref="I310" r:id="rId504"/>
    <hyperlink ref="I320" r:id="rId505"/>
    <hyperlink ref="I321" r:id="rId506"/>
    <hyperlink ref="I322" r:id="rId507"/>
    <hyperlink ref="I323" r:id="rId508"/>
    <hyperlink ref="I335" r:id="rId509"/>
    <hyperlink ref="I585" r:id="rId510"/>
    <hyperlink ref="I588" r:id="rId511"/>
    <hyperlink ref="I589" r:id="rId512"/>
    <hyperlink ref="I586" r:id="rId513"/>
    <hyperlink ref="I587" r:id="rId514"/>
    <hyperlink ref="I629" r:id="rId515"/>
    <hyperlink ref="I611" r:id="rId516"/>
    <hyperlink ref="I612" r:id="rId517"/>
    <hyperlink ref="I635" r:id="rId518"/>
    <hyperlink ref="I616" r:id="rId519"/>
    <hyperlink ref="I631" r:id="rId520"/>
    <hyperlink ref="I644" r:id="rId521"/>
    <hyperlink ref="I646" r:id="rId522"/>
    <hyperlink ref="I645" r:id="rId523"/>
    <hyperlink ref="I22" r:id="rId524"/>
    <hyperlink ref="I372" r:id="rId525"/>
    <hyperlink ref="I518" r:id="rId526"/>
    <hyperlink ref="I39" r:id="rId527"/>
    <hyperlink ref="I288" r:id="rId528"/>
    <hyperlink ref="I291" r:id="rId529"/>
    <hyperlink ref="I333" r:id="rId530"/>
    <hyperlink ref="I334" r:id="rId531"/>
    <hyperlink ref="I412" r:id="rId532"/>
    <hyperlink ref="I434" r:id="rId533"/>
    <hyperlink ref="I36" r:id="rId534"/>
    <hyperlink ref="I468" r:id="rId535"/>
    <hyperlink ref="I158" r:id="rId536"/>
    <hyperlink ref="I159" r:id="rId537"/>
    <hyperlink ref="I235" r:id="rId538"/>
    <hyperlink ref="I157" r:id="rId539"/>
    <hyperlink ref="I236" r:id="rId540"/>
    <hyperlink ref="I343" r:id="rId541"/>
    <hyperlink ref="I344" r:id="rId542"/>
    <hyperlink ref="I345" r:id="rId543"/>
    <hyperlink ref="I393" r:id="rId544"/>
    <hyperlink ref="I12" r:id="rId545"/>
    <hyperlink ref="I20" r:id="rId546"/>
    <hyperlink ref="I160" r:id="rId547"/>
    <hyperlink ref="I253" r:id="rId548"/>
    <hyperlink ref="I255" r:id="rId549"/>
    <hyperlink ref="I256" r:id="rId550"/>
    <hyperlink ref="I265" r:id="rId551"/>
    <hyperlink ref="I266" r:id="rId552"/>
    <hyperlink ref="I267" r:id="rId553"/>
    <hyperlink ref="I449" r:id="rId554"/>
    <hyperlink ref="I450" r:id="rId555"/>
    <hyperlink ref="I524" r:id="rId556"/>
    <hyperlink ref="I533" r:id="rId557"/>
    <hyperlink ref="I127" r:id="rId558"/>
    <hyperlink ref="I133" r:id="rId559"/>
    <hyperlink ref="I134" r:id="rId560"/>
    <hyperlink ref="I152" r:id="rId561"/>
    <hyperlink ref="I263" r:id="rId562"/>
    <hyperlink ref="I301" r:id="rId563"/>
    <hyperlink ref="I312" r:id="rId564"/>
    <hyperlink ref="I526" r:id="rId565"/>
    <hyperlink ref="I538" r:id="rId566"/>
    <hyperlink ref="I617" r:id="rId567"/>
    <hyperlink ref="I630" r:id="rId568"/>
    <hyperlink ref="I81" r:id="rId569"/>
    <hyperlink ref="I433" r:id="rId570"/>
    <hyperlink ref="I292" r:id="rId571"/>
    <hyperlink ref="I293" r:id="rId572"/>
    <hyperlink ref="I625" r:id="rId573"/>
    <hyperlink ref="I193" r:id="rId574"/>
    <hyperlink ref="I381" r:id="rId575"/>
    <hyperlink ref="I398" r:id="rId576"/>
    <hyperlink ref="I416" r:id="rId577"/>
    <hyperlink ref="I389" r:id="rId578"/>
    <hyperlink ref="I390" r:id="rId579"/>
    <hyperlink ref="I371" r:id="rId580"/>
    <hyperlink ref="I379" r:id="rId581"/>
    <hyperlink ref="I415" r:id="rId582"/>
    <hyperlink ref="I544" r:id="rId583"/>
    <hyperlink ref="I437" r:id="rId584"/>
    <hyperlink ref="I445" r:id="rId585"/>
    <hyperlink ref="I446" r:id="rId586"/>
    <hyperlink ref="I453" r:id="rId587"/>
    <hyperlink ref="I546" r:id="rId588"/>
    <hyperlink ref="I3" r:id="rId589"/>
    <hyperlink ref="I26" r:id="rId590"/>
    <hyperlink ref="I119" r:id="rId591"/>
    <hyperlink ref="I249" r:id="rId592"/>
    <hyperlink ref="I252" r:id="rId593"/>
    <hyperlink ref="I254" r:id="rId594"/>
    <hyperlink ref="I346" r:id="rId595"/>
    <hyperlink ref="I348" r:id="rId596"/>
    <hyperlink ref="I350" r:id="rId597"/>
    <hyperlink ref="I558" r:id="rId598"/>
    <hyperlink ref="I31" r:id="rId599"/>
    <hyperlink ref="I100" r:id="rId600"/>
    <hyperlink ref="I306" r:id="rId601"/>
    <hyperlink ref="I307" r:id="rId602"/>
    <hyperlink ref="I308" r:id="rId603"/>
    <hyperlink ref="I309" r:id="rId604"/>
    <hyperlink ref="I311" r:id="rId605"/>
    <hyperlink ref="I318" r:id="rId606"/>
    <hyperlink ref="I338" r:id="rId607"/>
    <hyperlink ref="I340" r:id="rId608"/>
    <hyperlink ref="I341" r:id="rId609"/>
    <hyperlink ref="I342" r:id="rId610"/>
    <hyperlink ref="I548" r:id="rId611"/>
    <hyperlink ref="J632" r:id="rId612"/>
    <hyperlink ref="J633" r:id="rId613"/>
    <hyperlink ref="J122" r:id="rId614"/>
    <hyperlink ref="J123" r:id="rId615"/>
    <hyperlink ref="J475" r:id="rId616"/>
    <hyperlink ref="J53" r:id="rId617"/>
    <hyperlink ref="J54" r:id="rId618"/>
    <hyperlink ref="J63" r:id="rId619"/>
    <hyperlink ref="J377" r:id="rId620"/>
    <hyperlink ref="J380" r:id="rId621"/>
    <hyperlink ref="J383" r:id="rId622"/>
    <hyperlink ref="J384" r:id="rId623"/>
    <hyperlink ref="J88" r:id="rId624"/>
    <hyperlink ref="J89" r:id="rId625"/>
    <hyperlink ref="J130" r:id="rId626"/>
    <hyperlink ref="J188" r:id="rId627"/>
    <hyperlink ref="J189" r:id="rId628"/>
    <hyperlink ref="J190" r:id="rId629"/>
    <hyperlink ref="J191" r:id="rId630"/>
    <hyperlink ref="J192" r:id="rId631"/>
    <hyperlink ref="J196" r:id="rId632"/>
    <hyperlink ref="J197" r:id="rId633"/>
    <hyperlink ref="J163" r:id="rId634"/>
    <hyperlink ref="J172" r:id="rId635"/>
    <hyperlink ref="J205" r:id="rId636"/>
    <hyperlink ref="J210" r:id="rId637"/>
    <hyperlink ref="J626" r:id="rId638"/>
    <hyperlink ref="J627" r:id="rId639"/>
    <hyperlink ref="J376" r:id="rId640"/>
    <hyperlink ref="J382" r:id="rId641"/>
    <hyperlink ref="J139" r:id="rId642"/>
    <hyperlink ref="J274" r:id="rId643"/>
    <hyperlink ref="J635" r:id="rId644"/>
    <hyperlink ref="J435" r:id="rId645"/>
    <hyperlink ref="J438" r:id="rId646"/>
    <hyperlink ref="J439" r:id="rId647"/>
    <hyperlink ref="J440" r:id="rId648"/>
    <hyperlink ref="J441" r:id="rId649"/>
    <hyperlink ref="J442" r:id="rId650"/>
    <hyperlink ref="J454" r:id="rId651"/>
    <hyperlink ref="J455" r:id="rId652"/>
    <hyperlink ref="J456" r:id="rId653"/>
    <hyperlink ref="J457" r:id="rId654"/>
    <hyperlink ref="J458" r:id="rId655"/>
    <hyperlink ref="J459" r:id="rId656"/>
    <hyperlink ref="J460" r:id="rId657"/>
    <hyperlink ref="J465" r:id="rId658"/>
    <hyperlink ref="J466" r:id="rId659"/>
    <hyperlink ref="J467" r:id="rId660"/>
    <hyperlink ref="J5" r:id="rId661"/>
    <hyperlink ref="J7" r:id="rId662"/>
    <hyperlink ref="J8" r:id="rId663"/>
    <hyperlink ref="J15" r:id="rId664"/>
    <hyperlink ref="J24" r:id="rId665"/>
    <hyperlink ref="J37" r:id="rId666"/>
    <hyperlink ref="J46" r:id="rId667"/>
    <hyperlink ref="J49" r:id="rId668"/>
    <hyperlink ref="J50" r:id="rId669"/>
    <hyperlink ref="J282" r:id="rId670"/>
    <hyperlink ref="J162" r:id="rId671"/>
    <hyperlink ref="J51" r:id="rId672"/>
    <hyperlink ref="J52" r:id="rId673"/>
    <hyperlink ref="J72" r:id="rId674"/>
    <hyperlink ref="J82" r:id="rId675"/>
    <hyperlink ref="J234" r:id="rId676"/>
    <hyperlink ref="J349" r:id="rId677"/>
    <hyperlink ref="J355" r:id="rId678"/>
    <hyperlink ref="J356" r:id="rId679"/>
    <hyperlink ref="J358" r:id="rId680"/>
    <hyperlink ref="J359" r:id="rId681"/>
    <hyperlink ref="J360" r:id="rId682"/>
    <hyperlink ref="J362" r:id="rId683"/>
    <hyperlink ref="J330" r:id="rId684"/>
    <hyperlink ref="J378" r:id="rId685"/>
    <hyperlink ref="J187" r:id="rId686"/>
    <hyperlink ref="J198" r:id="rId687"/>
    <hyperlink ref="J369" r:id="rId688"/>
    <hyperlink ref="J581" r:id="rId689"/>
    <hyperlink ref="J161" r:id="rId690"/>
    <hyperlink ref="J165" r:id="rId691"/>
    <hyperlink ref="J167" r:id="rId692"/>
    <hyperlink ref="J229" r:id="rId693"/>
    <hyperlink ref="J248" r:id="rId694"/>
    <hyperlink ref="J436" r:id="rId695"/>
    <hyperlink ref="J443" r:id="rId696"/>
    <hyperlink ref="J444" r:id="rId697"/>
    <hyperlink ref="J447" r:id="rId698"/>
    <hyperlink ref="J448" r:id="rId699"/>
    <hyperlink ref="J451" r:id="rId700"/>
    <hyperlink ref="J452" r:id="rId701"/>
    <hyperlink ref="J462" r:id="rId702"/>
    <hyperlink ref="J463" r:id="rId703"/>
    <hyperlink ref="J532" r:id="rId704"/>
    <hyperlink ref="J534" r:id="rId705"/>
    <hyperlink ref="J60" r:id="rId706"/>
    <hyperlink ref="J62" r:id="rId707"/>
    <hyperlink ref="J69" r:id="rId708"/>
    <hyperlink ref="J70" r:id="rId709"/>
    <hyperlink ref="J71" r:id="rId710"/>
    <hyperlink ref="J565" r:id="rId711"/>
    <hyperlink ref="J566" r:id="rId712"/>
    <hyperlink ref="J38" r:id="rId713"/>
    <hyperlink ref="J41" r:id="rId714"/>
    <hyperlink ref="J45" r:id="rId715"/>
    <hyperlink ref="J47" r:id="rId716"/>
    <hyperlink ref="J237" r:id="rId717"/>
    <hyperlink ref="J238" r:id="rId718"/>
    <hyperlink ref="J239" r:id="rId719"/>
    <hyperlink ref="J240" r:id="rId720"/>
    <hyperlink ref="J270" r:id="rId721"/>
    <hyperlink ref="J347" r:id="rId722"/>
    <hyperlink ref="J357" r:id="rId723"/>
    <hyperlink ref="J363" r:id="rId724"/>
    <hyperlink ref="J364" r:id="rId725"/>
    <hyperlink ref="J243" r:id="rId726"/>
    <hyperlink ref="J339" r:id="rId727"/>
    <hyperlink ref="J61" r:id="rId728"/>
    <hyperlink ref="J67" r:id="rId729"/>
    <hyperlink ref="J528" r:id="rId730"/>
    <hyperlink ref="J561" r:id="rId731"/>
    <hyperlink ref="J564" r:id="rId732"/>
    <hyperlink ref="J569" r:id="rId733"/>
    <hyperlink ref="J570" r:id="rId734"/>
    <hyperlink ref="J571" r:id="rId735"/>
    <hyperlink ref="J572" r:id="rId736"/>
    <hyperlink ref="J573" r:id="rId737"/>
    <hyperlink ref="J577" r:id="rId738"/>
    <hyperlink ref="J578" r:id="rId739"/>
    <hyperlink ref="J103" r:id="rId740"/>
    <hyperlink ref="J106" r:id="rId741"/>
    <hyperlink ref="J112" r:id="rId742"/>
    <hyperlink ref="J113" r:id="rId743"/>
    <hyperlink ref="J114" r:id="rId744"/>
    <hyperlink ref="J115" r:id="rId745"/>
    <hyperlink ref="J116" r:id="rId746"/>
    <hyperlink ref="J117" r:id="rId747"/>
    <hyperlink ref="J200" r:id="rId748"/>
    <hyperlink ref="J392" r:id="rId749"/>
    <hyperlink ref="J394" r:id="rId750"/>
    <hyperlink ref="J427" r:id="rId751"/>
    <hyperlink ref="J4" r:id="rId752"/>
    <hyperlink ref="J9" r:id="rId753"/>
    <hyperlink ref="J10" r:id="rId754"/>
    <hyperlink ref="J11" r:id="rId755"/>
    <hyperlink ref="J13" r:id="rId756"/>
    <hyperlink ref="I648" r:id="rId757"/>
    <hyperlink ref="I652" r:id="rId758"/>
    <hyperlink ref="I653" r:id="rId759"/>
    <hyperlink ref="I668" r:id="rId760"/>
    <hyperlink ref="I671" r:id="rId761"/>
    <hyperlink ref="I672" r:id="rId762"/>
    <hyperlink ref="I673" r:id="rId763"/>
    <hyperlink ref="I678" r:id="rId764"/>
    <hyperlink ref="I681" r:id="rId765"/>
    <hyperlink ref="I683" r:id="rId766"/>
    <hyperlink ref="I684" r:id="rId767"/>
    <hyperlink ref="I685" r:id="rId768"/>
    <hyperlink ref="I686" r:id="rId769"/>
    <hyperlink ref="I701" r:id="rId770"/>
    <hyperlink ref="I703" r:id="rId771"/>
    <hyperlink ref="I704" r:id="rId772"/>
    <hyperlink ref="I647" r:id="rId773"/>
    <hyperlink ref="I687" r:id="rId774"/>
    <hyperlink ref="I688" r:id="rId775"/>
    <hyperlink ref="I680" r:id="rId776"/>
    <hyperlink ref="I662" r:id="rId777"/>
    <hyperlink ref="J17" r:id="rId778"/>
    <hyperlink ref="J23" r:id="rId779"/>
    <hyperlink ref="J48" r:id="rId780"/>
    <hyperlink ref="J73" r:id="rId781"/>
    <hyperlink ref="J83" r:id="rId782"/>
    <hyperlink ref="J85" r:id="rId783"/>
    <hyperlink ref="J136" r:id="rId784"/>
    <hyperlink ref="J257" r:id="rId785"/>
    <hyperlink ref="J271" r:id="rId786"/>
    <hyperlink ref="J272" r:id="rId787"/>
    <hyperlink ref="J652" r:id="rId788"/>
    <hyperlink ref="J653" r:id="rId789"/>
    <hyperlink ref="J280" r:id="rId790"/>
    <hyperlink ref="J284" r:id="rId791"/>
    <hyperlink ref="J464" r:id="rId792"/>
    <hyperlink ref="I55" r:id="rId793"/>
    <hyperlink ref="I56" r:id="rId794"/>
    <hyperlink ref="J241" r:id="rId795"/>
    <hyperlink ref="J258" r:id="rId796"/>
    <hyperlink ref="J619" r:id="rId797"/>
    <hyperlink ref="J559" r:id="rId798"/>
    <hyperlink ref="J560" r:id="rId799"/>
    <hyperlink ref="J574" r:id="rId800"/>
    <hyperlink ref="J583" r:id="rId801"/>
    <hyperlink ref="J584" r:id="rId802"/>
    <hyperlink ref="J221" r:id="rId803"/>
    <hyperlink ref="J294" r:id="rId804"/>
    <hyperlink ref="J295" r:id="rId805"/>
    <hyperlink ref="J296" r:id="rId806"/>
    <hyperlink ref="J297" r:id="rId807"/>
    <hyperlink ref="J298" r:id="rId808"/>
    <hyperlink ref="J313" r:id="rId809"/>
    <hyperlink ref="J337" r:id="rId810"/>
    <hyperlink ref="J476" r:id="rId811"/>
    <hyperlink ref="J477" r:id="rId812"/>
    <hyperlink ref="J549" r:id="rId813"/>
    <hyperlink ref="J550" r:id="rId814"/>
    <hyperlink ref="J551" r:id="rId815"/>
    <hyperlink ref="J552" r:id="rId816"/>
    <hyperlink ref="J553" r:id="rId817"/>
    <hyperlink ref="J554" r:id="rId818"/>
    <hyperlink ref="J368" r:id="rId819"/>
    <hyperlink ref="J399" r:id="rId820"/>
    <hyperlink ref="J400" r:id="rId821"/>
    <hyperlink ref="J401" r:id="rId822"/>
    <hyperlink ref="J420" r:id="rId823"/>
    <hyperlink ref="J421" r:id="rId824"/>
    <hyperlink ref="J422" r:id="rId825"/>
    <hyperlink ref="J423" r:id="rId826"/>
    <hyperlink ref="J424" r:id="rId827"/>
    <hyperlink ref="J426" r:id="rId828"/>
    <hyperlink ref="J430" r:id="rId829"/>
    <hyperlink ref="J432" r:id="rId830"/>
    <hyperlink ref="J582" r:id="rId831"/>
    <hyperlink ref="J592" r:id="rId832"/>
    <hyperlink ref="J593" r:id="rId833"/>
    <hyperlink ref="J594" r:id="rId834"/>
    <hyperlink ref="J595" r:id="rId835"/>
    <hyperlink ref="J596" r:id="rId836"/>
    <hyperlink ref="J598" r:id="rId837"/>
    <hyperlink ref="J324" r:id="rId838"/>
    <hyperlink ref="J325" r:id="rId839"/>
    <hyperlink ref="J326" r:id="rId840"/>
    <hyperlink ref="J327" r:id="rId841"/>
    <hyperlink ref="J328" r:id="rId842"/>
    <hyperlink ref="J329" r:id="rId843"/>
    <hyperlink ref="J647" r:id="rId844"/>
    <hyperlink ref="J648" r:id="rId845"/>
    <hyperlink ref="I694" r:id="rId846"/>
    <hyperlink ref="J694" r:id="rId847"/>
    <hyperlink ref="I674" r:id="rId848"/>
    <hyperlink ref="I670" r:id="rId849"/>
    <hyperlink ref="I696" r:id="rId850"/>
    <hyperlink ref="I699" r:id="rId851"/>
    <hyperlink ref="J699" r:id="rId852"/>
    <hyperlink ref="I700" r:id="rId853"/>
    <hyperlink ref="I657" r:id="rId854"/>
    <hyperlink ref="J659" r:id="rId855"/>
    <hyperlink ref="I677" r:id="rId856"/>
    <hyperlink ref="I654" r:id="rId857"/>
    <hyperlink ref="I650" r:id="rId858"/>
    <hyperlink ref="I675" r:id="rId859"/>
    <hyperlink ref="I676" r:id="rId860"/>
    <hyperlink ref="I651" r:id="rId861"/>
    <hyperlink ref="J698" r:id="rId862"/>
    <hyperlink ref="I663" r:id="rId863"/>
    <hyperlink ref="I689" r:id="rId864"/>
    <hyperlink ref="J655" r:id="rId865"/>
    <hyperlink ref="I690" r:id="rId866"/>
    <hyperlink ref="I664" r:id="rId867"/>
    <hyperlink ref="I691" r:id="rId868"/>
    <hyperlink ref="I682" r:id="rId869"/>
    <hyperlink ref="I665" r:id="rId870"/>
    <hyperlink ref="I679" r:id="rId871"/>
    <hyperlink ref="I669" r:id="rId872"/>
    <hyperlink ref="J667" r:id="rId873"/>
    <hyperlink ref="I666" r:id="rId874"/>
    <hyperlink ref="J660" r:id="rId875"/>
    <hyperlink ref="J661" r:id="rId876"/>
    <hyperlink ref="J27" r:id="rId877"/>
    <hyperlink ref="J30" r:id="rId878"/>
    <hyperlink ref="J283" r:id="rId879"/>
    <hyperlink ref="J285" r:id="rId880"/>
    <hyperlink ref="J286" r:id="rId881"/>
    <hyperlink ref="I649" r:id="rId882"/>
    <hyperlink ref="J102" r:id="rId883"/>
    <hyperlink ref="J590" r:id="rId884"/>
    <hyperlink ref="J599" r:id="rId885"/>
    <hyperlink ref="J35" r:id="rId886"/>
    <hyperlink ref="J80" r:id="rId887"/>
    <hyperlink ref="J87" r:id="rId888"/>
    <hyperlink ref="J99" r:id="rId889"/>
    <hyperlink ref="J567" r:id="rId890"/>
    <hyperlink ref="J568" r:id="rId891"/>
    <hyperlink ref="J579" r:id="rId892"/>
    <hyperlink ref="J580" r:id="rId893"/>
    <hyperlink ref="J620" r:id="rId894"/>
    <hyperlink ref="J621" r:id="rId895"/>
    <hyperlink ref="J91" r:id="rId896"/>
    <hyperlink ref="J92" r:id="rId897"/>
    <hyperlink ref="J108" r:id="rId898"/>
    <hyperlink ref="J135" r:id="rId899"/>
    <hyperlink ref="J182" r:id="rId900"/>
    <hyperlink ref="J201" r:id="rId901"/>
    <hyperlink ref="J244" r:id="rId902"/>
    <hyperlink ref="J245" r:id="rId903"/>
    <hyperlink ref="J299" r:id="rId904"/>
    <hyperlink ref="J300" r:id="rId905"/>
    <hyperlink ref="J302" r:id="rId906"/>
    <hyperlink ref="J525" r:id="rId907"/>
    <hyperlink ref="J535" r:id="rId908"/>
    <hyperlink ref="J555" r:id="rId909"/>
    <hyperlink ref="J556" r:id="rId910"/>
    <hyperlink ref="J557" r:id="rId911"/>
    <hyperlink ref="J75" r:id="rId912"/>
    <hyperlink ref="J76" r:id="rId913"/>
    <hyperlink ref="J86" r:id="rId914"/>
    <hyperlink ref="J90" r:id="rId915"/>
    <hyperlink ref="J94" r:id="rId916"/>
    <hyperlink ref="J95" r:id="rId917"/>
    <hyperlink ref="J96" r:id="rId918"/>
    <hyperlink ref="J97" r:id="rId919"/>
    <hyperlink ref="J132" r:id="rId920"/>
    <hyperlink ref="J137" r:id="rId921"/>
    <hyperlink ref="J170" r:id="rId922"/>
    <hyperlink ref="J171" r:id="rId923"/>
    <hyperlink ref="J246" r:id="rId924"/>
    <hyperlink ref="J259" r:id="rId925"/>
    <hyperlink ref="J273" r:id="rId926"/>
    <hyperlink ref="J547" r:id="rId927"/>
    <hyperlink ref="I656" r:id="rId928"/>
    <hyperlink ref="I692" r:id="rId929"/>
    <hyperlink ref="I693" r:id="rId930"/>
    <hyperlink ref="J695" r:id="rId931"/>
    <hyperlink ref="J657" r:id="rId932"/>
    <hyperlink ref="J668" r:id="rId933"/>
    <hyperlink ref="J672" r:id="rId934"/>
    <hyperlink ref="J673" r:id="rId935"/>
    <hyperlink ref="J682" r:id="rId936"/>
    <hyperlink ref="J689" r:id="rId937"/>
    <hyperlink ref="J101" r:id="rId938"/>
    <hyperlink ref="J262" r:id="rId939"/>
    <hyperlink ref="J276" r:id="rId940"/>
    <hyperlink ref="J277" r:id="rId941"/>
    <hyperlink ref="J166" r:id="rId942"/>
    <hyperlink ref="J175" r:id="rId943"/>
    <hyperlink ref="J104" r:id="rId944"/>
    <hyperlink ref="J149" r:id="rId945"/>
    <hyperlink ref="J174" r:id="rId946"/>
    <hyperlink ref="J176" r:id="rId947"/>
    <hyperlink ref="J177" r:id="rId948"/>
    <hyperlink ref="J178" r:id="rId949"/>
    <hyperlink ref="J180" r:id="rId950"/>
    <hyperlink ref="J185" r:id="rId951"/>
    <hyperlink ref="J186" r:id="rId952"/>
    <hyperlink ref="J709" r:id="rId953"/>
    <hyperlink ref="J710" r:id="rId954"/>
    <hyperlink ref="J711" r:id="rId955"/>
    <hyperlink ref="J712" r:id="rId956"/>
    <hyperlink ref="J713" r:id="rId957"/>
    <hyperlink ref="J714" r:id="rId958"/>
    <hyperlink ref="I715" r:id="rId959"/>
    <hyperlink ref="J716" r:id="rId960"/>
    <hyperlink ref="J658" r:id="rId961"/>
    <hyperlink ref="J194" r:id="rId962"/>
    <hyperlink ref="J216" r:id="rId963"/>
    <hyperlink ref="J218" r:id="rId964"/>
    <hyperlink ref="J219" r:id="rId965"/>
    <hyperlink ref="J397" r:id="rId966"/>
    <hyperlink ref="J591" r:id="rId967"/>
    <hyperlink ref="J600" r:id="rId968"/>
    <hyperlink ref="J469" r:id="rId969"/>
    <hyperlink ref="J470" r:id="rId970"/>
    <hyperlink ref="J562" r:id="rId971"/>
    <hyperlink ref="J563" r:id="rId972"/>
    <hyperlink ref="J479" r:id="rId973"/>
    <hyperlink ref="J480" r:id="rId974"/>
    <hyperlink ref="J481" r:id="rId975"/>
    <hyperlink ref="J484" r:id="rId976"/>
    <hyperlink ref="J487" r:id="rId977"/>
    <hyperlink ref="J488" r:id="rId978"/>
    <hyperlink ref="J493" r:id="rId979"/>
    <hyperlink ref="J494" r:id="rId980"/>
    <hyperlink ref="J495" r:id="rId981"/>
    <hyperlink ref="J523" r:id="rId982"/>
    <hyperlink ref="J124" r:id="rId983"/>
    <hyperlink ref="J138" r:id="rId984"/>
    <hyperlink ref="J155" r:id="rId985"/>
    <hyperlink ref="J179" r:id="rId986"/>
    <hyperlink ref="J199" r:id="rId987"/>
    <hyperlink ref="J204" r:id="rId988"/>
    <hyperlink ref="J207" r:id="rId989"/>
    <hyperlink ref="J212" r:id="rId990"/>
    <hyperlink ref="J224" r:id="rId991"/>
    <hyperlink ref="J230" r:id="rId992"/>
    <hyperlink ref="J536" r:id="rId993"/>
    <hyperlink ref="J537" r:id="rId994"/>
    <hyperlink ref="J385" r:id="rId995"/>
    <hyperlink ref="J499" r:id="rId996"/>
    <hyperlink ref="J500" r:id="rId997"/>
    <hyperlink ref="J505" r:id="rId998"/>
    <hyperlink ref="J510" r:id="rId999"/>
    <hyperlink ref="J512" r:id="rId1000"/>
    <hyperlink ref="J461" r:id="rId1001"/>
    <hyperlink ref="J630" r:id="rId1002"/>
    <hyperlink ref="J663" r:id="rId1003"/>
    <hyperlink ref="J677" r:id="rId1004"/>
    <hyperlink ref="J690" r:id="rId1005"/>
    <hyperlink ref="J697" r:id="rId1006"/>
    <hyperlink ref="J702" r:id="rId1007"/>
    <hyperlink ref="J16" r:id="rId1008"/>
    <hyperlink ref="J40" r:id="rId1009"/>
    <hyperlink ref="J74" r:id="rId1010"/>
    <hyperlink ref="J181" r:id="rId1011"/>
    <hyperlink ref="J278" r:id="rId1012"/>
    <hyperlink ref="J279" r:id="rId1013"/>
    <hyperlink ref="J485" r:id="rId1014"/>
    <hyperlink ref="J486" r:id="rId1015"/>
    <hyperlink ref="J492" r:id="rId1016"/>
    <hyperlink ref="J217" r:id="rId1017"/>
    <hyperlink ref="J242" r:id="rId1018"/>
    <hyperlink ref="J260" r:id="rId1019"/>
    <hyperlink ref="J261" r:id="rId1020"/>
    <hyperlink ref="J520" r:id="rId1021"/>
    <hyperlink ref="J575" r:id="rId1022"/>
    <hyperlink ref="J576" r:id="rId1023"/>
    <hyperlink ref="J66" r:id="rId1024"/>
    <hyperlink ref="J471" r:id="rId1025"/>
    <hyperlink ref="J472" r:id="rId1026"/>
    <hyperlink ref="J105" r:id="rId1027"/>
    <hyperlink ref="J142" r:id="rId1028"/>
    <hyperlink ref="J143" r:id="rId1029"/>
    <hyperlink ref="J220" r:id="rId1030"/>
    <hyperlink ref="J597" r:id="rId1031"/>
    <hyperlink ref="J601" r:id="rId1032"/>
    <hyperlink ref="J602" r:id="rId1033"/>
    <hyperlink ref="J604" r:id="rId1034"/>
    <hyperlink ref="J605" r:id="rId1035"/>
    <hyperlink ref="J140" r:id="rId1036"/>
    <hyperlink ref="J141" r:id="rId1037"/>
    <hyperlink ref="J144" r:id="rId1038"/>
    <hyperlink ref="J147" r:id="rId1039"/>
    <hyperlink ref="J148" r:id="rId1040"/>
    <hyperlink ref="J202" r:id="rId1041"/>
    <hyperlink ref="J208" r:id="rId1042"/>
    <hyperlink ref="J211" r:id="rId1043"/>
    <hyperlink ref="J213" r:id="rId1044"/>
    <hyperlink ref="J214" r:id="rId1045"/>
    <hyperlink ref="J215" r:id="rId1046"/>
    <hyperlink ref="J222" r:id="rId1047"/>
    <hyperlink ref="J231" r:id="rId1048"/>
    <hyperlink ref="J304" r:id="rId1049"/>
    <hyperlink ref="J613" r:id="rId1050"/>
    <hyperlink ref="J618" r:id="rId1051"/>
    <hyperlink ref="J516" r:id="rId1052"/>
    <hyperlink ref="J517" r:id="rId1053"/>
    <hyperlink ref="J644" r:id="rId1054"/>
    <hyperlink ref="J645" r:id="rId1055"/>
    <hyperlink ref="J646" r:id="rId1056"/>
    <hyperlink ref="I639" r:id="rId1057"/>
    <hyperlink ref="I643" r:id="rId1058"/>
    <hyperlink ref="J747" r:id="rId1059"/>
    <hyperlink ref="J748" r:id="rId1060"/>
    <hyperlink ref="J746" r:id="rId1061"/>
    <hyperlink ref="J745" r:id="rId1062"/>
    <hyperlink ref="J744" r:id="rId1063"/>
    <hyperlink ref="J650" r:id="rId1064"/>
    <hyperlink ref="J654" r:id="rId1065"/>
    <hyperlink ref="J674" r:id="rId1066"/>
    <hyperlink ref="J675" r:id="rId1067"/>
    <hyperlink ref="J676" r:id="rId1068"/>
    <hyperlink ref="J681" r:id="rId1069"/>
    <hyperlink ref="J685" r:id="rId1070"/>
    <hyperlink ref="J686" r:id="rId1071"/>
    <hyperlink ref="J687" r:id="rId1072"/>
    <hyperlink ref="J688" r:id="rId1073"/>
    <hyperlink ref="J700" r:id="rId1074"/>
    <hyperlink ref="J701" r:id="rId1075"/>
    <hyperlink ref="J753" r:id="rId1076"/>
    <hyperlink ref="J754" r:id="rId1077"/>
    <hyperlink ref="J755" r:id="rId1078"/>
    <hyperlink ref="J756" r:id="rId1079"/>
    <hyperlink ref="J77" r:id="rId1080"/>
    <hyperlink ref="J78" r:id="rId1081"/>
    <hyperlink ref="J84" r:id="rId1082"/>
    <hyperlink ref="J622" r:id="rId1083"/>
    <hyperlink ref="J623" r:id="rId1084"/>
    <hyperlink ref="J120" r:id="rId1085"/>
    <hyperlink ref="J121" r:id="rId1086"/>
    <hyperlink ref="J275" r:id="rId1087"/>
    <hyperlink ref="J21" r:id="rId1088"/>
    <hyperlink ref="J125" r:id="rId1089"/>
    <hyperlink ref="J247" r:id="rId1090"/>
    <hyperlink ref="J251" r:id="rId1091"/>
    <hyperlink ref="J268" r:id="rId1092"/>
    <hyperlink ref="J269" r:id="rId1093"/>
    <hyperlink ref="J607" r:id="rId1094"/>
    <hyperlink ref="J608" r:id="rId1095"/>
    <hyperlink ref="J609" r:id="rId1096"/>
    <hyperlink ref="J610" r:id="rId1097"/>
    <hyperlink ref="J482" r:id="rId1098"/>
    <hyperlink ref="J483" r:id="rId1099"/>
    <hyperlink ref="J489" r:id="rId1100"/>
    <hyperlink ref="J490" r:id="rId1101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42" fitToHeight="0" orientation="portrait" horizontalDpi="4294967292" r:id="rId1102"/>
  <ignoredErrors>
    <ignoredError sqref="A544 A523:A524 A546:A547 A324:A338 A402 A415:A417 A425:A429 A475 A558 A499:A520 A435:A467 A528:A538 A343:A386 A96:A98 A23 A550 A276:A293 A25 A3:A11 A119:A123 A12:A21 A525:A526 A99:A100 A31 A410 A392:A398 A387:A391 A257:A275 A249:A256 A248 A233:A247 A225:A232 A217:A224 A209:A216 A206:A208 A200:A205 A199 A198 A193:A197 A191:A192 A188:A190 A187 A180:A186 A179 A172:A178 A168:A171 A164:A167 A161:A163 A158:A160 A155:A157 A150:A154 A147:A149 A143:A146 A140:A142 A139 A135:A138 A133:A134 A132 A130:A131 A124:A129 A109:A117 A108 A105:A107 A103:A104 A93:A94 A90:A92 A89 A88 A80:A87 A73:A79 A57:A72 A49:A54 A40:A42 A39 A38 A37 A36 A33:A35 A32 A30 A26:A29 A101:A102 A43:A48 A55:A56" numberStoredAsText="1"/>
  </ignoredErrors>
  <drawing r:id="rId1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AD00"/>
  </sheetPr>
  <dimension ref="A1:AH60"/>
  <sheetViews>
    <sheetView workbookViewId="0">
      <selection activeCell="B2" sqref="B2:R2"/>
    </sheetView>
  </sheetViews>
  <sheetFormatPr defaultRowHeight="15"/>
  <cols>
    <col min="1" max="1" width="2.7109375" customWidth="1"/>
    <col min="2" max="2" width="20.7109375" customWidth="1"/>
    <col min="3" max="3" width="10.7109375" customWidth="1"/>
    <col min="4" max="15" width="12.7109375" customWidth="1"/>
    <col min="16" max="17" width="12.85546875" hidden="1" customWidth="1"/>
    <col min="18" max="18" width="12.85546875" customWidth="1"/>
    <col min="19" max="19" width="27.140625" customWidth="1"/>
  </cols>
  <sheetData>
    <row r="1" spans="1:3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</row>
    <row r="2" spans="1:34" ht="45" customHeight="1">
      <c r="A2" s="43"/>
      <c r="B2" s="97" t="s">
        <v>1644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</row>
    <row r="3" spans="1:34" ht="20.100000000000001" customHeight="1">
      <c r="A3" s="43"/>
      <c r="B3" s="65" t="s">
        <v>5</v>
      </c>
      <c r="C3" s="65" t="s">
        <v>929</v>
      </c>
      <c r="D3" s="65" t="s">
        <v>912</v>
      </c>
      <c r="E3" s="65" t="s">
        <v>913</v>
      </c>
      <c r="F3" s="65" t="s">
        <v>914</v>
      </c>
      <c r="G3" s="65" t="s">
        <v>915</v>
      </c>
      <c r="H3" s="65" t="s">
        <v>916</v>
      </c>
      <c r="I3" s="65" t="s">
        <v>917</v>
      </c>
      <c r="J3" s="65" t="s">
        <v>918</v>
      </c>
      <c r="K3" s="65" t="s">
        <v>919</v>
      </c>
      <c r="L3" s="65" t="s">
        <v>920</v>
      </c>
      <c r="M3" s="65" t="s">
        <v>921</v>
      </c>
      <c r="N3" s="65" t="s">
        <v>922</v>
      </c>
      <c r="O3" s="65" t="s">
        <v>923</v>
      </c>
      <c r="P3" s="66" t="s">
        <v>978</v>
      </c>
      <c r="Q3" s="66" t="s">
        <v>924</v>
      </c>
      <c r="R3" s="66" t="s">
        <v>960</v>
      </c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</row>
    <row r="4" spans="1:34">
      <c r="A4" s="43"/>
      <c r="B4" s="5" t="s">
        <v>65</v>
      </c>
      <c r="C4" s="4">
        <f>SUM(D4:O4)</f>
        <v>141</v>
      </c>
      <c r="D4" s="35">
        <v>5</v>
      </c>
      <c r="E4" s="35">
        <v>5</v>
      </c>
      <c r="F4" s="35">
        <v>10</v>
      </c>
      <c r="G4" s="35">
        <v>16</v>
      </c>
      <c r="H4" s="35">
        <v>16</v>
      </c>
      <c r="I4" s="35">
        <v>12</v>
      </c>
      <c r="J4" s="35">
        <v>19</v>
      </c>
      <c r="K4" s="85">
        <v>8</v>
      </c>
      <c r="L4" s="84">
        <v>14</v>
      </c>
      <c r="M4" s="84">
        <v>11</v>
      </c>
      <c r="N4" s="84">
        <v>12</v>
      </c>
      <c r="O4" s="84">
        <v>13</v>
      </c>
      <c r="P4" s="68">
        <v>1</v>
      </c>
      <c r="Q4" s="4">
        <v>0</v>
      </c>
      <c r="R4" s="69">
        <v>36</v>
      </c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pans="1:34">
      <c r="A5" s="43"/>
      <c r="B5" s="42" t="s">
        <v>7</v>
      </c>
      <c r="C5" s="4">
        <f t="shared" ref="C5:C23" si="0">SUM(D5:O5)</f>
        <v>129</v>
      </c>
      <c r="D5" s="35">
        <v>21</v>
      </c>
      <c r="E5" s="35">
        <v>17</v>
      </c>
      <c r="F5" s="35">
        <v>15</v>
      </c>
      <c r="G5" s="35">
        <v>2</v>
      </c>
      <c r="H5" s="35">
        <v>16</v>
      </c>
      <c r="I5" s="35">
        <v>4</v>
      </c>
      <c r="J5" s="35">
        <v>6</v>
      </c>
      <c r="K5" s="35">
        <v>10</v>
      </c>
      <c r="L5" s="84">
        <v>9</v>
      </c>
      <c r="M5" s="84">
        <v>10</v>
      </c>
      <c r="N5" s="84">
        <v>9</v>
      </c>
      <c r="O5" s="84">
        <v>10</v>
      </c>
      <c r="P5" s="68">
        <v>6</v>
      </c>
      <c r="Q5" s="4">
        <v>0</v>
      </c>
      <c r="R5" s="4">
        <v>0</v>
      </c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pans="1:34">
      <c r="A6" s="43"/>
      <c r="B6" s="22" t="s">
        <v>32</v>
      </c>
      <c r="C6" s="4">
        <f t="shared" si="0"/>
        <v>106</v>
      </c>
      <c r="D6" s="35">
        <v>8</v>
      </c>
      <c r="E6" s="35">
        <v>4</v>
      </c>
      <c r="F6" s="35">
        <v>12</v>
      </c>
      <c r="G6" s="35">
        <v>19</v>
      </c>
      <c r="H6" s="35">
        <v>3</v>
      </c>
      <c r="I6" s="35">
        <v>16</v>
      </c>
      <c r="J6" s="35">
        <v>9</v>
      </c>
      <c r="K6" s="85">
        <v>13</v>
      </c>
      <c r="L6" s="84">
        <v>5</v>
      </c>
      <c r="M6" s="84">
        <v>7</v>
      </c>
      <c r="N6" s="84">
        <v>6</v>
      </c>
      <c r="O6" s="84">
        <v>4</v>
      </c>
      <c r="P6" s="68">
        <v>4</v>
      </c>
      <c r="Q6" s="4">
        <v>0</v>
      </c>
      <c r="R6" s="4">
        <v>0</v>
      </c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pans="1:34">
      <c r="A7" s="43"/>
      <c r="B7" s="13" t="s">
        <v>46</v>
      </c>
      <c r="C7" s="4">
        <f>SUM(D7:O7)</f>
        <v>101</v>
      </c>
      <c r="D7" s="35">
        <v>5</v>
      </c>
      <c r="E7" s="35">
        <v>6</v>
      </c>
      <c r="F7" s="35">
        <v>4</v>
      </c>
      <c r="G7" s="35">
        <v>8</v>
      </c>
      <c r="H7" s="35">
        <v>9</v>
      </c>
      <c r="I7" s="35">
        <v>12</v>
      </c>
      <c r="J7" s="35">
        <v>14</v>
      </c>
      <c r="K7" s="85">
        <v>14</v>
      </c>
      <c r="L7" s="84">
        <v>6</v>
      </c>
      <c r="M7" s="84">
        <v>6</v>
      </c>
      <c r="N7" s="84">
        <v>8</v>
      </c>
      <c r="O7" s="84">
        <v>9</v>
      </c>
      <c r="P7" s="4">
        <v>0</v>
      </c>
      <c r="Q7" s="4">
        <v>0</v>
      </c>
      <c r="R7" s="4">
        <v>0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pans="1:34">
      <c r="A8" s="43"/>
      <c r="B8" s="39" t="s">
        <v>31</v>
      </c>
      <c r="C8" s="4">
        <f t="shared" si="0"/>
        <v>65</v>
      </c>
      <c r="D8" s="35">
        <v>3</v>
      </c>
      <c r="E8" s="35">
        <v>7</v>
      </c>
      <c r="F8" s="35">
        <v>12</v>
      </c>
      <c r="G8" s="35">
        <v>5</v>
      </c>
      <c r="H8" s="35">
        <v>10</v>
      </c>
      <c r="I8" s="35">
        <v>4</v>
      </c>
      <c r="J8" s="35">
        <v>5</v>
      </c>
      <c r="K8" s="35">
        <v>7</v>
      </c>
      <c r="L8" s="5"/>
      <c r="M8" s="84">
        <v>7</v>
      </c>
      <c r="N8" s="84">
        <v>2</v>
      </c>
      <c r="O8" s="84">
        <v>3</v>
      </c>
      <c r="P8" s="4">
        <v>0</v>
      </c>
      <c r="Q8" s="4">
        <v>0</v>
      </c>
      <c r="R8" s="4">
        <v>0</v>
      </c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>
      <c r="A9" s="43"/>
      <c r="B9" s="29" t="s">
        <v>59</v>
      </c>
      <c r="C9" s="4">
        <f t="shared" si="0"/>
        <v>54</v>
      </c>
      <c r="D9" s="35">
        <v>16</v>
      </c>
      <c r="E9" s="35">
        <v>14</v>
      </c>
      <c r="F9" s="35">
        <v>1</v>
      </c>
      <c r="G9" s="35">
        <v>2</v>
      </c>
      <c r="H9" s="4"/>
      <c r="I9" s="35">
        <v>2</v>
      </c>
      <c r="J9" s="4"/>
      <c r="K9" s="4"/>
      <c r="L9" s="84">
        <v>5</v>
      </c>
      <c r="M9" s="84">
        <v>5</v>
      </c>
      <c r="N9" s="84">
        <v>4</v>
      </c>
      <c r="O9" s="84">
        <v>5</v>
      </c>
      <c r="P9" s="4">
        <v>0</v>
      </c>
      <c r="Q9" s="4">
        <v>0</v>
      </c>
      <c r="R9" s="69">
        <v>5</v>
      </c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pans="1:34">
      <c r="A10" s="43"/>
      <c r="B10" s="31" t="s">
        <v>34</v>
      </c>
      <c r="C10" s="4">
        <f t="shared" si="0"/>
        <v>27</v>
      </c>
      <c r="D10" s="35">
        <v>1</v>
      </c>
      <c r="E10" s="35">
        <v>1</v>
      </c>
      <c r="F10" s="4"/>
      <c r="G10" s="4"/>
      <c r="H10" s="4"/>
      <c r="I10" s="4"/>
      <c r="J10" s="4"/>
      <c r="K10" s="35">
        <v>1</v>
      </c>
      <c r="L10" s="84">
        <v>6</v>
      </c>
      <c r="M10" s="84">
        <v>10</v>
      </c>
      <c r="N10" s="84">
        <v>6</v>
      </c>
      <c r="O10" s="84">
        <v>2</v>
      </c>
      <c r="P10" s="4">
        <v>0</v>
      </c>
      <c r="Q10" s="67">
        <v>4</v>
      </c>
      <c r="R10" s="4">
        <v>0</v>
      </c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>
      <c r="A11" s="43"/>
      <c r="B11" s="38" t="s">
        <v>841</v>
      </c>
      <c r="C11" s="4">
        <f t="shared" si="0"/>
        <v>24</v>
      </c>
      <c r="D11" s="4"/>
      <c r="E11" s="4"/>
      <c r="F11" s="4"/>
      <c r="G11" s="35">
        <v>1</v>
      </c>
      <c r="H11" s="4"/>
      <c r="I11" s="35">
        <v>9</v>
      </c>
      <c r="J11" s="35">
        <v>3</v>
      </c>
      <c r="K11" s="85">
        <v>7</v>
      </c>
      <c r="L11" s="84">
        <v>3</v>
      </c>
      <c r="M11" s="4"/>
      <c r="N11" s="4"/>
      <c r="O11" s="84">
        <v>1</v>
      </c>
      <c r="P11" s="4">
        <v>0</v>
      </c>
      <c r="Q11" s="4">
        <v>0</v>
      </c>
      <c r="R11" s="4">
        <v>0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>
      <c r="A12" s="43"/>
      <c r="B12" s="40" t="s">
        <v>62</v>
      </c>
      <c r="C12" s="4">
        <f t="shared" si="0"/>
        <v>10</v>
      </c>
      <c r="D12" s="35">
        <v>2</v>
      </c>
      <c r="E12" s="4"/>
      <c r="F12" s="4"/>
      <c r="G12" s="4"/>
      <c r="H12" s="4"/>
      <c r="I12" s="35">
        <v>2</v>
      </c>
      <c r="J12" s="35">
        <v>2</v>
      </c>
      <c r="K12" s="4"/>
      <c r="L12" s="84">
        <v>1</v>
      </c>
      <c r="M12" s="4"/>
      <c r="N12" s="84">
        <v>3</v>
      </c>
      <c r="O12" s="4"/>
      <c r="P12" s="4">
        <v>0</v>
      </c>
      <c r="Q12" s="4">
        <v>0</v>
      </c>
      <c r="R12" s="4">
        <v>0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3" spans="1:34">
      <c r="A13" s="43"/>
      <c r="B13" s="25" t="s">
        <v>56</v>
      </c>
      <c r="C13" s="4">
        <f t="shared" si="0"/>
        <v>11</v>
      </c>
      <c r="D13" s="4"/>
      <c r="E13" s="4"/>
      <c r="F13" s="35">
        <v>1</v>
      </c>
      <c r="G13" s="35">
        <v>1</v>
      </c>
      <c r="H13" s="35">
        <v>3</v>
      </c>
      <c r="I13" s="4"/>
      <c r="J13" s="4"/>
      <c r="K13" s="4"/>
      <c r="L13" s="84">
        <v>5</v>
      </c>
      <c r="M13" s="84">
        <v>1</v>
      </c>
      <c r="N13" s="4"/>
      <c r="O13" s="4"/>
      <c r="P13" s="4">
        <v>0</v>
      </c>
      <c r="Q13" s="67">
        <v>5</v>
      </c>
      <c r="R13" s="69">
        <v>1</v>
      </c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r="14" spans="1:34">
      <c r="A14" s="43"/>
      <c r="B14" s="30" t="s">
        <v>35</v>
      </c>
      <c r="C14" s="4">
        <f t="shared" si="0"/>
        <v>6</v>
      </c>
      <c r="D14" s="4"/>
      <c r="E14" s="4"/>
      <c r="F14" s="4"/>
      <c r="G14" s="35">
        <v>1</v>
      </c>
      <c r="H14" s="35">
        <v>1</v>
      </c>
      <c r="I14" s="4"/>
      <c r="J14" s="4"/>
      <c r="K14" s="35">
        <v>1</v>
      </c>
      <c r="L14" s="84">
        <v>2</v>
      </c>
      <c r="M14" s="4"/>
      <c r="N14" s="4"/>
      <c r="O14" s="84">
        <v>1</v>
      </c>
      <c r="P14" s="4">
        <v>0</v>
      </c>
      <c r="Q14" s="4">
        <v>0</v>
      </c>
      <c r="R14" s="69">
        <v>2</v>
      </c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pans="1:34">
      <c r="A15" s="43"/>
      <c r="B15" s="23" t="s">
        <v>39</v>
      </c>
      <c r="C15" s="4">
        <f t="shared" si="0"/>
        <v>4</v>
      </c>
      <c r="D15" s="4"/>
      <c r="E15" s="4"/>
      <c r="F15" s="4"/>
      <c r="G15" s="4"/>
      <c r="H15" s="4"/>
      <c r="I15" s="4"/>
      <c r="J15" s="35">
        <v>2</v>
      </c>
      <c r="K15" s="4"/>
      <c r="L15" s="4"/>
      <c r="M15" s="4"/>
      <c r="N15" s="4"/>
      <c r="O15" s="84">
        <v>2</v>
      </c>
      <c r="P15" s="4">
        <v>0</v>
      </c>
      <c r="Q15" s="4">
        <v>0</v>
      </c>
      <c r="R15" s="4">
        <v>0</v>
      </c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pans="1:34">
      <c r="A16" s="43"/>
      <c r="B16" s="26" t="s">
        <v>33</v>
      </c>
      <c r="C16" s="4">
        <f t="shared" si="0"/>
        <v>4</v>
      </c>
      <c r="D16" s="35">
        <v>2</v>
      </c>
      <c r="E16" s="4"/>
      <c r="F16" s="4"/>
      <c r="G16" s="4"/>
      <c r="H16" s="4"/>
      <c r="I16" s="4"/>
      <c r="J16" s="4"/>
      <c r="K16" s="35">
        <v>2</v>
      </c>
      <c r="L16" s="4"/>
      <c r="M16" s="4"/>
      <c r="N16" s="4"/>
      <c r="O16" s="4"/>
      <c r="P16" s="4">
        <v>0</v>
      </c>
      <c r="Q16" s="4">
        <v>0</v>
      </c>
      <c r="R16" s="4">
        <v>0</v>
      </c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pans="1:34">
      <c r="A17" s="43"/>
      <c r="B17" s="35" t="s">
        <v>60</v>
      </c>
      <c r="C17" s="4">
        <f t="shared" si="0"/>
        <v>2</v>
      </c>
      <c r="D17" s="4"/>
      <c r="E17" s="4"/>
      <c r="F17" s="4"/>
      <c r="G17" s="4"/>
      <c r="H17" s="4"/>
      <c r="I17" s="35">
        <v>1</v>
      </c>
      <c r="J17" s="4"/>
      <c r="K17" s="4"/>
      <c r="L17" s="84">
        <v>1</v>
      </c>
      <c r="M17" s="4"/>
      <c r="N17" s="4"/>
      <c r="O17" s="4"/>
      <c r="P17" s="4">
        <v>0</v>
      </c>
      <c r="Q17" s="4">
        <v>0</v>
      </c>
      <c r="R17" s="4">
        <v>0</v>
      </c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pans="1:34">
      <c r="A18" s="43"/>
      <c r="B18" s="24" t="s">
        <v>498</v>
      </c>
      <c r="C18" s="4">
        <f t="shared" si="0"/>
        <v>1</v>
      </c>
      <c r="D18" s="4"/>
      <c r="E18" s="4"/>
      <c r="F18" s="35">
        <v>1</v>
      </c>
      <c r="G18" s="4"/>
      <c r="H18" s="4"/>
      <c r="I18" s="4"/>
      <c r="J18" s="4"/>
      <c r="K18" s="4"/>
      <c r="L18" s="4"/>
      <c r="M18" s="4"/>
      <c r="N18" s="4"/>
      <c r="O18" s="4"/>
      <c r="P18" s="4">
        <v>0</v>
      </c>
      <c r="Q18" s="4">
        <v>0</v>
      </c>
      <c r="R18" s="4">
        <v>0</v>
      </c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pans="1:34">
      <c r="A19" s="43"/>
      <c r="B19" s="34" t="s">
        <v>633</v>
      </c>
      <c r="C19" s="4">
        <f t="shared" si="0"/>
        <v>1</v>
      </c>
      <c r="D19" s="4"/>
      <c r="E19" s="4"/>
      <c r="F19" s="35">
        <v>1</v>
      </c>
      <c r="G19" s="4"/>
      <c r="H19" s="4"/>
      <c r="I19" s="4"/>
      <c r="J19" s="4"/>
      <c r="K19" s="4"/>
      <c r="L19" s="4"/>
      <c r="M19" s="4"/>
      <c r="N19" s="4"/>
      <c r="O19" s="4"/>
      <c r="P19" s="4">
        <v>0</v>
      </c>
      <c r="Q19" s="4">
        <v>0</v>
      </c>
      <c r="R19" s="4">
        <v>0</v>
      </c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pans="1:34">
      <c r="A20" s="43"/>
      <c r="B20" s="41" t="s">
        <v>898</v>
      </c>
      <c r="C20" s="4">
        <f t="shared" si="0"/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84">
        <v>1</v>
      </c>
      <c r="O20" s="4"/>
      <c r="P20" s="4">
        <v>0</v>
      </c>
      <c r="Q20" s="4">
        <v>0</v>
      </c>
      <c r="R20" s="4">
        <v>0</v>
      </c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pans="1:34">
      <c r="A21" s="43"/>
      <c r="B21" s="28" t="s">
        <v>1273</v>
      </c>
      <c r="C21" s="4">
        <f t="shared" si="0"/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84">
        <v>1</v>
      </c>
      <c r="O21" s="4"/>
      <c r="P21" s="4">
        <v>0</v>
      </c>
      <c r="Q21" s="4">
        <v>0</v>
      </c>
      <c r="R21" s="4">
        <v>0</v>
      </c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pans="1:34">
      <c r="A22" s="43"/>
      <c r="B22" s="27" t="s">
        <v>105</v>
      </c>
      <c r="C22" s="4">
        <f t="shared" si="0"/>
        <v>1</v>
      </c>
      <c r="D22" s="4"/>
      <c r="E22" s="4"/>
      <c r="F22" s="4"/>
      <c r="G22" s="4"/>
      <c r="H22" s="4"/>
      <c r="I22" s="4"/>
      <c r="J22" s="35">
        <v>1</v>
      </c>
      <c r="K22" s="4"/>
      <c r="L22" s="4"/>
      <c r="M22" s="4"/>
      <c r="N22" s="4"/>
      <c r="O22" s="4"/>
      <c r="P22" s="4">
        <v>0</v>
      </c>
      <c r="Q22" s="4">
        <v>0</v>
      </c>
      <c r="R22" s="4">
        <v>0</v>
      </c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pans="1:34">
      <c r="A23" s="43"/>
      <c r="B23" s="32" t="s">
        <v>494</v>
      </c>
      <c r="C23" s="4">
        <f t="shared" si="0"/>
        <v>1</v>
      </c>
      <c r="D23" s="4"/>
      <c r="E23" s="4"/>
      <c r="F23" s="4"/>
      <c r="G23" s="4"/>
      <c r="H23" s="35">
        <v>1</v>
      </c>
      <c r="I23" s="4"/>
      <c r="J23" s="4"/>
      <c r="K23" s="4"/>
      <c r="L23" s="4"/>
      <c r="M23" s="4"/>
      <c r="N23" s="4"/>
      <c r="O23" s="4"/>
      <c r="P23" s="4">
        <v>0</v>
      </c>
      <c r="Q23" s="4">
        <v>0</v>
      </c>
      <c r="R23" s="4">
        <v>0</v>
      </c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pans="1:34">
      <c r="A24" s="43"/>
      <c r="B24" s="65" t="s">
        <v>925</v>
      </c>
      <c r="C24" s="65">
        <f t="shared" ref="C24:I24" si="1">SUM(C4:C23)</f>
        <v>690</v>
      </c>
      <c r="D24" s="56">
        <f t="shared" si="1"/>
        <v>63</v>
      </c>
      <c r="E24" s="56">
        <f t="shared" si="1"/>
        <v>54</v>
      </c>
      <c r="F24" s="56">
        <f t="shared" si="1"/>
        <v>57</v>
      </c>
      <c r="G24" s="56">
        <f t="shared" si="1"/>
        <v>55</v>
      </c>
      <c r="H24" s="56">
        <f t="shared" si="1"/>
        <v>59</v>
      </c>
      <c r="I24" s="56">
        <f t="shared" si="1"/>
        <v>62</v>
      </c>
      <c r="J24" s="56">
        <f t="shared" ref="J24:O24" si="2">SUM(J4:J23)</f>
        <v>61</v>
      </c>
      <c r="K24" s="13">
        <f t="shared" si="2"/>
        <v>63</v>
      </c>
      <c r="L24" s="56">
        <f t="shared" si="2"/>
        <v>57</v>
      </c>
      <c r="M24" s="56">
        <f t="shared" si="2"/>
        <v>57</v>
      </c>
      <c r="N24" s="56">
        <f t="shared" si="2"/>
        <v>52</v>
      </c>
      <c r="O24" s="56">
        <f t="shared" si="2"/>
        <v>50</v>
      </c>
      <c r="P24" s="66">
        <f>SUM(P4:P23)</f>
        <v>11</v>
      </c>
      <c r="Q24" s="66">
        <f>SUM(Q4:Q23)</f>
        <v>9</v>
      </c>
      <c r="R24" s="66">
        <f>SUM(R4:R23)</f>
        <v>44</v>
      </c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pans="1:34">
      <c r="A25" s="43"/>
      <c r="B25" s="43"/>
      <c r="C25" s="43"/>
      <c r="D25" s="43"/>
      <c r="E25" s="43"/>
      <c r="F25" s="57"/>
      <c r="G25" s="57"/>
      <c r="H25" s="43"/>
      <c r="I25" s="43"/>
      <c r="J25" s="57"/>
      <c r="K25" s="43"/>
      <c r="L25" s="57"/>
      <c r="M25" s="77"/>
      <c r="N25" s="76"/>
      <c r="O25" s="76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spans="1:34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74"/>
      <c r="M26" s="74"/>
      <c r="N26" s="74"/>
      <c r="O26" s="74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pans="1:34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74"/>
      <c r="M27" s="74"/>
      <c r="N27" s="74"/>
      <c r="O27" s="74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pans="1:34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4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pans="1:3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pans="1:3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pans="1:34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pans="1:34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pans="1:34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pans="1:34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pans="1:34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pans="1:34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pans="1:34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4" spans="1:3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pans="1:34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pans="1:3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pans="1:34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pans="1:34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pans="1:34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pans="1:34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pans="1:34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pans="1:34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pans="1:34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pans="1:3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</row>
    <row r="55" spans="1:3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</row>
    <row r="56" spans="1:3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pans="1:34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pans="1:3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</sheetData>
  <mergeCells count="1">
    <mergeCell ref="B2:R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ignoredErrors>
    <ignoredError sqref="C4:C9 C10:C23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4700"/>
  </sheetPr>
  <dimension ref="A1:AJ51"/>
  <sheetViews>
    <sheetView workbookViewId="0">
      <selection activeCell="B2" sqref="B2:I2"/>
    </sheetView>
  </sheetViews>
  <sheetFormatPr defaultRowHeight="15"/>
  <cols>
    <col min="1" max="1" width="2.7109375" customWidth="1"/>
    <col min="2" max="2" width="25.7109375" customWidth="1"/>
    <col min="3" max="9" width="20.7109375" customWidth="1"/>
    <col min="10" max="10" width="10.7109375" customWidth="1"/>
    <col min="11" max="11" width="28.42578125" customWidth="1"/>
    <col min="12" max="13" width="15.7109375" customWidth="1"/>
  </cols>
  <sheetData>
    <row r="1" spans="1:36" ht="15" customHeight="1">
      <c r="A1" s="43"/>
      <c r="B1" s="43"/>
      <c r="C1" s="43"/>
      <c r="D1" s="43"/>
      <c r="E1" s="43"/>
      <c r="F1" s="44"/>
      <c r="G1" s="43"/>
      <c r="H1" s="43"/>
      <c r="I1" s="44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spans="1:36" ht="45" customHeight="1">
      <c r="A2" s="43"/>
      <c r="B2" s="97" t="s">
        <v>906</v>
      </c>
      <c r="C2" s="97"/>
      <c r="D2" s="97"/>
      <c r="E2" s="97"/>
      <c r="F2" s="97"/>
      <c r="G2" s="97"/>
      <c r="H2" s="97"/>
      <c r="I2" s="97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 spans="1:36" ht="20.100000000000001" customHeight="1">
      <c r="A3" s="43"/>
      <c r="B3" s="46" t="s">
        <v>8</v>
      </c>
      <c r="C3" s="46" t="s">
        <v>9</v>
      </c>
      <c r="D3" s="46" t="s">
        <v>907</v>
      </c>
      <c r="E3" s="101" t="s">
        <v>908</v>
      </c>
      <c r="F3" s="102"/>
      <c r="G3" s="102"/>
      <c r="H3" s="102"/>
      <c r="I3" s="103"/>
      <c r="J3" s="43"/>
      <c r="K3" s="47"/>
      <c r="L3" s="48"/>
      <c r="M3" s="49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</row>
    <row r="4" spans="1:36">
      <c r="A4" s="43"/>
      <c r="B4" s="17">
        <v>1</v>
      </c>
      <c r="C4" s="6">
        <v>46027</v>
      </c>
      <c r="D4" s="5" t="s">
        <v>108</v>
      </c>
      <c r="E4" s="98" t="s">
        <v>1645</v>
      </c>
      <c r="F4" s="99"/>
      <c r="G4" s="99"/>
      <c r="H4" s="99"/>
      <c r="I4" s="100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6">
      <c r="A5" s="43"/>
      <c r="B5" s="17">
        <v>2</v>
      </c>
      <c r="C5" s="6">
        <v>46055</v>
      </c>
      <c r="D5" s="5" t="s">
        <v>108</v>
      </c>
      <c r="E5" s="98" t="s">
        <v>1763</v>
      </c>
      <c r="F5" s="99"/>
      <c r="G5" s="99"/>
      <c r="H5" s="99"/>
      <c r="I5" s="100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spans="1:36">
      <c r="A6" s="43"/>
      <c r="B6" s="17">
        <v>3</v>
      </c>
      <c r="C6" s="6">
        <v>46083</v>
      </c>
      <c r="D6" s="5" t="s">
        <v>108</v>
      </c>
      <c r="E6" s="98" t="s">
        <v>1811</v>
      </c>
      <c r="F6" s="99"/>
      <c r="G6" s="99"/>
      <c r="H6" s="99"/>
      <c r="I6" s="100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</row>
    <row r="7" spans="1:36">
      <c r="A7" s="43"/>
      <c r="B7" s="17">
        <v>4</v>
      </c>
      <c r="C7" s="6">
        <v>46113</v>
      </c>
      <c r="D7" s="5" t="s">
        <v>108</v>
      </c>
      <c r="E7" s="98" t="s">
        <v>1882</v>
      </c>
      <c r="F7" s="99"/>
      <c r="G7" s="99"/>
      <c r="H7" s="99"/>
      <c r="I7" s="100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6">
      <c r="A8" s="43"/>
      <c r="B8" s="17">
        <v>5</v>
      </c>
      <c r="C8" s="6">
        <v>46146</v>
      </c>
      <c r="D8" s="5" t="s">
        <v>108</v>
      </c>
      <c r="E8" s="98" t="s">
        <v>1907</v>
      </c>
      <c r="F8" s="99"/>
      <c r="G8" s="99"/>
      <c r="H8" s="99"/>
      <c r="I8" s="100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spans="1:36">
      <c r="A9" s="43"/>
      <c r="B9" s="17">
        <v>6</v>
      </c>
      <c r="C9" s="6">
        <v>46174</v>
      </c>
      <c r="D9" s="5" t="s">
        <v>108</v>
      </c>
      <c r="E9" s="98" t="s">
        <v>1992</v>
      </c>
      <c r="F9" s="99"/>
      <c r="G9" s="99"/>
      <c r="H9" s="99"/>
      <c r="I9" s="100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spans="1:36">
      <c r="A10" s="43"/>
      <c r="B10" s="17">
        <v>7</v>
      </c>
      <c r="C10" s="6">
        <v>46204</v>
      </c>
      <c r="D10" s="5" t="s">
        <v>108</v>
      </c>
      <c r="E10" s="98" t="s">
        <v>2051</v>
      </c>
      <c r="F10" s="99"/>
      <c r="G10" s="99"/>
      <c r="H10" s="99"/>
      <c r="I10" s="100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spans="1:36">
      <c r="A11" s="43"/>
      <c r="B11" s="17">
        <v>8</v>
      </c>
      <c r="C11" s="6">
        <v>46237</v>
      </c>
      <c r="D11" s="5" t="s">
        <v>108</v>
      </c>
      <c r="E11" s="98" t="s">
        <v>2153</v>
      </c>
      <c r="F11" s="99"/>
      <c r="G11" s="99"/>
      <c r="H11" s="99"/>
      <c r="I11" s="100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</row>
    <row r="12" spans="1:36">
      <c r="A12" s="43"/>
      <c r="B12" s="17"/>
      <c r="C12" s="6"/>
      <c r="D12" s="5"/>
      <c r="E12" s="98"/>
      <c r="F12" s="99"/>
      <c r="G12" s="99"/>
      <c r="H12" s="99"/>
      <c r="I12" s="100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</row>
    <row r="13" spans="1:36">
      <c r="A13" s="43"/>
      <c r="B13" s="17"/>
      <c r="C13" s="6"/>
      <c r="D13" s="5"/>
      <c r="E13" s="98"/>
      <c r="F13" s="99"/>
      <c r="G13" s="99"/>
      <c r="H13" s="99"/>
      <c r="I13" s="100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spans="1:36">
      <c r="A14" s="43"/>
      <c r="B14" s="17"/>
      <c r="C14" s="6"/>
      <c r="D14" s="5"/>
      <c r="E14" s="98"/>
      <c r="F14" s="99"/>
      <c r="G14" s="99"/>
      <c r="H14" s="99"/>
      <c r="I14" s="100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spans="1:36">
      <c r="A15" s="43"/>
      <c r="B15" s="17"/>
      <c r="C15" s="6"/>
      <c r="D15" s="5"/>
      <c r="E15" s="98"/>
      <c r="F15" s="99"/>
      <c r="G15" s="99"/>
      <c r="H15" s="99"/>
      <c r="I15" s="100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spans="1:36">
      <c r="A16" s="43"/>
      <c r="B16" s="17"/>
      <c r="C16" s="6"/>
      <c r="D16" s="5"/>
      <c r="E16" s="98"/>
      <c r="F16" s="99"/>
      <c r="G16" s="99"/>
      <c r="H16" s="99"/>
      <c r="I16" s="10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</row>
    <row r="17" spans="1:36">
      <c r="A17" s="43"/>
      <c r="B17" s="17"/>
      <c r="C17" s="6"/>
      <c r="D17" s="5"/>
      <c r="E17" s="98"/>
      <c r="F17" s="99"/>
      <c r="G17" s="99"/>
      <c r="H17" s="99"/>
      <c r="I17" s="100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</row>
    <row r="18" spans="1:36">
      <c r="A18" s="43"/>
      <c r="B18" s="17"/>
      <c r="C18" s="6"/>
      <c r="D18" s="5"/>
      <c r="E18" s="98"/>
      <c r="F18" s="99"/>
      <c r="G18" s="99"/>
      <c r="H18" s="99"/>
      <c r="I18" s="100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</row>
    <row r="19" spans="1:36">
      <c r="A19" s="43"/>
      <c r="B19" s="17"/>
      <c r="C19" s="6"/>
      <c r="D19" s="5"/>
      <c r="E19" s="98"/>
      <c r="F19" s="99"/>
      <c r="G19" s="99"/>
      <c r="H19" s="99"/>
      <c r="I19" s="100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</row>
    <row r="20" spans="1:36">
      <c r="A20" s="43"/>
      <c r="B20" s="17"/>
      <c r="C20" s="6"/>
      <c r="D20" s="5"/>
      <c r="E20" s="98"/>
      <c r="F20" s="99"/>
      <c r="G20" s="99"/>
      <c r="H20" s="99"/>
      <c r="I20" s="100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</row>
    <row r="21" spans="1:36">
      <c r="A21" s="43"/>
      <c r="B21" s="17"/>
      <c r="C21" s="6"/>
      <c r="D21" s="5"/>
      <c r="E21" s="98"/>
      <c r="F21" s="99"/>
      <c r="G21" s="99"/>
      <c r="H21" s="99"/>
      <c r="I21" s="100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</row>
    <row r="22" spans="1:36">
      <c r="A22" s="43"/>
      <c r="B22" s="17"/>
      <c r="C22" s="6"/>
      <c r="D22" s="5"/>
      <c r="E22" s="98"/>
      <c r="F22" s="99"/>
      <c r="G22" s="99"/>
      <c r="H22" s="99"/>
      <c r="I22" s="100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</row>
    <row r="23" spans="1:36">
      <c r="A23" s="43"/>
      <c r="B23" s="17"/>
      <c r="C23" s="6"/>
      <c r="D23" s="5"/>
      <c r="E23" s="98"/>
      <c r="F23" s="99"/>
      <c r="G23" s="99"/>
      <c r="H23" s="99"/>
      <c r="I23" s="100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spans="1:36">
      <c r="A24" s="43"/>
      <c r="B24" s="43"/>
      <c r="C24" s="50"/>
      <c r="D24" s="51"/>
      <c r="E24" s="43"/>
      <c r="F24" s="43"/>
      <c r="G24" s="51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spans="1:36">
      <c r="A25" s="43"/>
      <c r="B25" s="43"/>
      <c r="C25" s="50"/>
      <c r="D25" s="51"/>
      <c r="E25" s="43"/>
      <c r="F25" s="43"/>
      <c r="G25" s="51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spans="1:36">
      <c r="A26" s="43"/>
      <c r="B26" s="43"/>
      <c r="C26" s="50"/>
      <c r="D26" s="51"/>
      <c r="E26" s="43"/>
      <c r="F26" s="43"/>
      <c r="G26" s="51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spans="1:36">
      <c r="A27" s="43"/>
      <c r="B27" s="43"/>
      <c r="C27" s="50"/>
      <c r="D27" s="51"/>
      <c r="E27" s="43"/>
      <c r="F27" s="43"/>
      <c r="G27" s="51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spans="1:36">
      <c r="A28" s="43"/>
      <c r="B28" s="43"/>
      <c r="C28" s="50"/>
      <c r="D28" s="51"/>
      <c r="E28" s="43"/>
      <c r="F28" s="43"/>
      <c r="G28" s="51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</row>
    <row r="29" spans="1:36">
      <c r="A29" s="43"/>
      <c r="B29" s="43"/>
      <c r="C29" s="50"/>
      <c r="D29" s="51"/>
      <c r="E29" s="43"/>
      <c r="F29" s="43"/>
      <c r="G29" s="51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6">
      <c r="A30" s="43"/>
      <c r="B30" s="43"/>
      <c r="C30" s="50"/>
      <c r="D30" s="51"/>
      <c r="E30" s="43"/>
      <c r="F30" s="43"/>
      <c r="G30" s="51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6">
      <c r="A31" s="43"/>
      <c r="B31" s="43"/>
      <c r="C31" s="50"/>
      <c r="D31" s="51"/>
      <c r="E31" s="43"/>
      <c r="F31" s="43"/>
      <c r="G31" s="5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spans="1:36">
      <c r="A32" s="43"/>
      <c r="B32" s="43"/>
      <c r="C32" s="50"/>
      <c r="D32" s="51"/>
      <c r="E32" s="43"/>
      <c r="F32" s="43"/>
      <c r="G32" s="51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spans="1:36">
      <c r="A33" s="43"/>
      <c r="B33" s="43"/>
      <c r="C33" s="50"/>
      <c r="D33" s="51"/>
      <c r="E33" s="43"/>
      <c r="F33" s="43"/>
      <c r="G33" s="51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spans="1:36">
      <c r="A34" s="43"/>
      <c r="B34" s="43"/>
      <c r="C34" s="50"/>
      <c r="D34" s="51"/>
      <c r="E34" s="43"/>
      <c r="F34" s="43"/>
      <c r="G34" s="51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spans="1:36">
      <c r="A35" s="43"/>
      <c r="B35" s="43"/>
      <c r="C35" s="50"/>
      <c r="D35" s="51"/>
      <c r="E35" s="43"/>
      <c r="F35" s="43"/>
      <c r="G35" s="51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spans="1:36">
      <c r="A36" s="43"/>
      <c r="B36" s="43"/>
      <c r="C36" s="50"/>
      <c r="D36" s="51"/>
      <c r="E36" s="43"/>
      <c r="F36" s="43"/>
      <c r="G36" s="51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spans="1:36">
      <c r="A37" s="43"/>
      <c r="B37" s="43"/>
      <c r="C37" s="50"/>
      <c r="D37" s="51"/>
      <c r="E37" s="43"/>
      <c r="F37" s="43"/>
      <c r="G37" s="51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spans="1:36">
      <c r="A38" s="43"/>
      <c r="B38" s="43"/>
      <c r="C38" s="50"/>
      <c r="D38" s="51"/>
      <c r="E38" s="43"/>
      <c r="F38" s="43"/>
      <c r="G38" s="51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spans="1:36">
      <c r="A39" s="43"/>
      <c r="B39" s="43"/>
      <c r="C39" s="50"/>
      <c r="D39" s="51"/>
      <c r="E39" s="43"/>
      <c r="F39" s="43"/>
      <c r="G39" s="51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spans="1:36">
      <c r="A40" s="43"/>
      <c r="B40" s="43"/>
      <c r="C40" s="50"/>
      <c r="D40" s="51"/>
      <c r="E40" s="43"/>
      <c r="F40" s="43"/>
      <c r="G40" s="51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spans="1:36">
      <c r="A41" s="43"/>
      <c r="B41" s="43"/>
      <c r="C41" s="50"/>
      <c r="D41" s="51"/>
      <c r="E41" s="43"/>
      <c r="F41" s="43"/>
      <c r="G41" s="51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spans="1:36">
      <c r="A42" s="43"/>
      <c r="B42" s="43"/>
      <c r="C42" s="50"/>
      <c r="D42" s="51"/>
      <c r="E42" s="43"/>
      <c r="F42" s="43"/>
      <c r="G42" s="51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spans="1:36">
      <c r="A43" s="43"/>
      <c r="B43" s="43"/>
      <c r="C43" s="50"/>
      <c r="D43" s="51"/>
      <c r="E43" s="43"/>
      <c r="F43" s="43"/>
      <c r="G43" s="51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spans="1:36">
      <c r="A44" s="43"/>
      <c r="B44" s="43"/>
      <c r="C44" s="50"/>
      <c r="D44" s="51"/>
      <c r="E44" s="43"/>
      <c r="F44" s="43"/>
      <c r="G44" s="51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spans="1:36">
      <c r="A45" s="43"/>
      <c r="B45" s="43"/>
      <c r="C45" s="50"/>
      <c r="D45" s="51"/>
      <c r="E45" s="43"/>
      <c r="F45" s="43"/>
      <c r="G45" s="51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spans="1:36">
      <c r="A46" s="43"/>
      <c r="B46" s="43"/>
      <c r="C46" s="50"/>
      <c r="D46" s="51"/>
      <c r="E46" s="43"/>
      <c r="F46" s="43"/>
      <c r="G46" s="51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spans="1:36">
      <c r="A47" s="43"/>
      <c r="B47" s="43"/>
      <c r="C47" s="50"/>
      <c r="D47" s="51"/>
      <c r="E47" s="43"/>
      <c r="F47" s="43"/>
      <c r="G47" s="51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spans="1:36">
      <c r="A48" s="43"/>
      <c r="B48" s="43"/>
      <c r="C48" s="50"/>
      <c r="D48" s="51"/>
      <c r="E48" s="43"/>
      <c r="F48" s="43"/>
      <c r="G48" s="51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spans="1:36">
      <c r="A49" s="43"/>
      <c r="B49" s="43"/>
      <c r="C49" s="50"/>
      <c r="D49" s="51"/>
      <c r="E49" s="43"/>
      <c r="F49" s="43"/>
      <c r="G49" s="51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spans="1:36">
      <c r="A50" s="43"/>
      <c r="B50" s="43"/>
      <c r="C50" s="50"/>
      <c r="D50" s="51"/>
      <c r="E50" s="43"/>
      <c r="F50" s="43"/>
      <c r="G50" s="51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spans="1:3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</sheetData>
  <mergeCells count="22">
    <mergeCell ref="E20:I20"/>
    <mergeCell ref="E21:I21"/>
    <mergeCell ref="E22:I22"/>
    <mergeCell ref="E23:I23"/>
    <mergeCell ref="E14:I14"/>
    <mergeCell ref="E15:I15"/>
    <mergeCell ref="E16:I16"/>
    <mergeCell ref="E17:I17"/>
    <mergeCell ref="E18:I18"/>
    <mergeCell ref="E19:I19"/>
    <mergeCell ref="E13:I13"/>
    <mergeCell ref="B2:I2"/>
    <mergeCell ref="E3:I3"/>
    <mergeCell ref="E4:I4"/>
    <mergeCell ref="E5:I5"/>
    <mergeCell ref="E6:I6"/>
    <mergeCell ref="E7:I7"/>
    <mergeCell ref="E8:I8"/>
    <mergeCell ref="E9:I9"/>
    <mergeCell ref="E10:I10"/>
    <mergeCell ref="E11:I11"/>
    <mergeCell ref="E12:I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Controle de Calibração 2026</vt:lpstr>
      <vt:lpstr>Cronograma Mensal 2026</vt:lpstr>
      <vt:lpstr>Controle de Revisão 2026</vt:lpstr>
      <vt:lpstr>'Controle de Calibração 2026'!Area_de_impressao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Perez</dc:creator>
  <cp:lastModifiedBy>Inspetores Metrologia</cp:lastModifiedBy>
  <cp:lastPrinted>2025-11-24T13:42:07Z</cp:lastPrinted>
  <dcterms:created xsi:type="dcterms:W3CDTF">2016-10-19T09:13:26Z</dcterms:created>
  <dcterms:modified xsi:type="dcterms:W3CDTF">2026-08-24T10:46:23Z</dcterms:modified>
</cp:coreProperties>
</file>